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dge\Downloads\"/>
    </mc:Choice>
  </mc:AlternateContent>
  <xr:revisionPtr revIDLastSave="0" documentId="8_{21AC8E07-B2F7-4EBC-87B3-FA08E365CB82}" xr6:coauthVersionLast="47" xr6:coauthVersionMax="47" xr10:uidLastSave="{00000000-0000-0000-0000-000000000000}"/>
  <bookViews>
    <workbookView xWindow="-108" yWindow="-108" windowWidth="23256" windowHeight="13896" xr2:uid="{90E1F4E1-7C51-4246-8B2B-5A5335506A34}"/>
  </bookViews>
  <sheets>
    <sheet name="WIP เย็บ" sheetId="1" r:id="rId1"/>
  </sheets>
  <definedNames>
    <definedName name="Z_E7BD9610_23FD_43FE_BBA1_C7F89A1FA4C6_.wvu.FilterData" localSheetId="0" hidden="1">'WIP เย็บ'!$B$2:$AK$67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F4" i="1" s="1"/>
  <c r="I4" i="1"/>
  <c r="K4" i="1"/>
  <c r="S4" i="1"/>
  <c r="T4" i="1"/>
  <c r="U4" i="1"/>
  <c r="W4" i="1"/>
  <c r="X4" i="1"/>
  <c r="AQ4" i="1"/>
  <c r="E5" i="1"/>
  <c r="G5" i="1" s="1"/>
  <c r="F5" i="1"/>
  <c r="H5" i="1"/>
  <c r="AE5" i="1" s="1"/>
  <c r="I5" i="1"/>
  <c r="J5" i="1"/>
  <c r="Q5" i="1"/>
  <c r="S5" i="1"/>
  <c r="Y5" i="1" s="1"/>
  <c r="Z5" i="1" s="1"/>
  <c r="T5" i="1"/>
  <c r="U5" i="1"/>
  <c r="W5" i="1"/>
  <c r="X5" i="1" s="1"/>
  <c r="AQ5" i="1"/>
  <c r="E6" i="1"/>
  <c r="U6" i="1" s="1"/>
  <c r="F6" i="1"/>
  <c r="G6" i="1"/>
  <c r="H6" i="1"/>
  <c r="AE6" i="1" s="1"/>
  <c r="I6" i="1"/>
  <c r="J6" i="1"/>
  <c r="Q6" i="1"/>
  <c r="T6" i="1"/>
  <c r="AP6" i="1"/>
  <c r="AQ6" i="1"/>
  <c r="S6" i="1" s="1"/>
  <c r="E7" i="1"/>
  <c r="H7" i="1" s="1"/>
  <c r="F7" i="1"/>
  <c r="G7" i="1"/>
  <c r="T7" i="1"/>
  <c r="AP7" i="1"/>
  <c r="E8" i="1"/>
  <c r="F8" i="1" s="1"/>
  <c r="G8" i="1"/>
  <c r="H8" i="1"/>
  <c r="I8" i="1"/>
  <c r="J8" i="1"/>
  <c r="K8" i="1"/>
  <c r="M8" i="1"/>
  <c r="AE8" i="1" s="1"/>
  <c r="O8" i="1"/>
  <c r="Q8" i="1"/>
  <c r="S8" i="1"/>
  <c r="Y8" i="1" s="1"/>
  <c r="Z8" i="1" s="1"/>
  <c r="T8" i="1"/>
  <c r="U8" i="1"/>
  <c r="W8" i="1"/>
  <c r="X8" i="1"/>
  <c r="AP8" i="1"/>
  <c r="AQ8" i="1"/>
  <c r="E9" i="1"/>
  <c r="U9" i="1" s="1"/>
  <c r="F9" i="1"/>
  <c r="G9" i="1"/>
  <c r="H9" i="1"/>
  <c r="I9" i="1"/>
  <c r="J9" i="1"/>
  <c r="K9" i="1"/>
  <c r="T9" i="1" s="1"/>
  <c r="Q9" i="1"/>
  <c r="AP9" i="1"/>
  <c r="AQ9" i="1"/>
  <c r="S9" i="1" s="1"/>
  <c r="E11" i="1"/>
  <c r="H11" i="1" s="1"/>
  <c r="F11" i="1"/>
  <c r="G11" i="1"/>
  <c r="T11" i="1"/>
  <c r="AP11" i="1"/>
  <c r="E12" i="1"/>
  <c r="F12" i="1" s="1"/>
  <c r="G12" i="1"/>
  <c r="H12" i="1"/>
  <c r="AE12" i="1" s="1"/>
  <c r="I12" i="1"/>
  <c r="J12" i="1"/>
  <c r="S12" i="1"/>
  <c r="T12" i="1"/>
  <c r="U12" i="1"/>
  <c r="W12" i="1"/>
  <c r="X12" i="1"/>
  <c r="Y12" i="1"/>
  <c r="Z12" i="1"/>
  <c r="AA12" i="1"/>
  <c r="AB12" i="1" s="1"/>
  <c r="AP12" i="1"/>
  <c r="AQ12" i="1"/>
  <c r="E13" i="1"/>
  <c r="G13" i="1" s="1"/>
  <c r="F13" i="1"/>
  <c r="H13" i="1"/>
  <c r="AE13" i="1" s="1"/>
  <c r="I13" i="1"/>
  <c r="J13" i="1"/>
  <c r="Q13" i="1"/>
  <c r="S13" i="1"/>
  <c r="Y13" i="1" s="1"/>
  <c r="Z13" i="1" s="1"/>
  <c r="T13" i="1"/>
  <c r="U13" i="1"/>
  <c r="W13" i="1"/>
  <c r="X13" i="1" s="1"/>
  <c r="AQ13" i="1"/>
  <c r="E14" i="1"/>
  <c r="U14" i="1" s="1"/>
  <c r="F14" i="1"/>
  <c r="G14" i="1"/>
  <c r="H14" i="1"/>
  <c r="AE14" i="1" s="1"/>
  <c r="I14" i="1"/>
  <c r="J14" i="1"/>
  <c r="Q14" i="1"/>
  <c r="T14" i="1"/>
  <c r="AP14" i="1"/>
  <c r="AQ14" i="1"/>
  <c r="S14" i="1" s="1"/>
  <c r="E15" i="1"/>
  <c r="H15" i="1" s="1"/>
  <c r="F15" i="1"/>
  <c r="G15" i="1"/>
  <c r="T15" i="1"/>
  <c r="AP15" i="1"/>
  <c r="E16" i="1"/>
  <c r="F16" i="1" s="1"/>
  <c r="G16" i="1"/>
  <c r="H16" i="1"/>
  <c r="AE16" i="1" s="1"/>
  <c r="I16" i="1"/>
  <c r="J16" i="1"/>
  <c r="S16" i="1"/>
  <c r="T16" i="1"/>
  <c r="U16" i="1"/>
  <c r="W16" i="1"/>
  <c r="X16" i="1"/>
  <c r="Y16" i="1"/>
  <c r="Z16" i="1"/>
  <c r="AA16" i="1"/>
  <c r="AB16" i="1" s="1"/>
  <c r="AP16" i="1"/>
  <c r="AQ16" i="1"/>
  <c r="E17" i="1"/>
  <c r="G17" i="1" s="1"/>
  <c r="F17" i="1"/>
  <c r="H17" i="1"/>
  <c r="Y17" i="1" s="1"/>
  <c r="Z17" i="1" s="1"/>
  <c r="I17" i="1"/>
  <c r="J17" i="1"/>
  <c r="Q17" i="1"/>
  <c r="T17" i="1"/>
  <c r="U17" i="1"/>
  <c r="W17" i="1"/>
  <c r="X17" i="1"/>
  <c r="AP17" i="1"/>
  <c r="E18" i="1"/>
  <c r="U18" i="1" s="1"/>
  <c r="F18" i="1"/>
  <c r="G18" i="1"/>
  <c r="H18" i="1"/>
  <c r="AE18" i="1" s="1"/>
  <c r="I18" i="1"/>
  <c r="J18" i="1"/>
  <c r="Q18" i="1"/>
  <c r="S18" i="1"/>
  <c r="W18" i="1" s="1"/>
  <c r="X18" i="1" s="1"/>
  <c r="T18" i="1"/>
  <c r="AP18" i="1"/>
  <c r="AQ18" i="1"/>
  <c r="Y19" i="1"/>
  <c r="AA19" i="1"/>
  <c r="B20" i="1"/>
  <c r="C20" i="1"/>
  <c r="D20" i="1"/>
  <c r="E20" i="1"/>
  <c r="F20" i="1"/>
  <c r="G20" i="1"/>
  <c r="H20" i="1"/>
  <c r="I20" i="1"/>
  <c r="J20" i="1"/>
  <c r="K20" i="1"/>
  <c r="M20" i="1"/>
  <c r="O20" i="1"/>
  <c r="Q20" i="1"/>
  <c r="V20" i="1"/>
  <c r="AC20" i="1"/>
  <c r="AD20" i="1"/>
  <c r="AE20" i="1"/>
  <c r="AG20" i="1"/>
  <c r="AH20" i="1"/>
  <c r="AJ20" i="1"/>
  <c r="AK20" i="1"/>
  <c r="AL20" i="1"/>
  <c r="AO20" i="1"/>
  <c r="AP20" i="1"/>
  <c r="AQ20" i="1"/>
  <c r="AR20" i="1"/>
  <c r="E21" i="1"/>
  <c r="F21" i="1"/>
  <c r="G21" i="1"/>
  <c r="H21" i="1"/>
  <c r="AE21" i="1" s="1"/>
  <c r="I21" i="1"/>
  <c r="J21" i="1"/>
  <c r="L21" i="1"/>
  <c r="U21" i="1" s="1"/>
  <c r="Q21" i="1"/>
  <c r="T21" i="1"/>
  <c r="AP21" i="1"/>
  <c r="S21" i="1" s="1"/>
  <c r="AQ21" i="1"/>
  <c r="AR21" i="1"/>
  <c r="E22" i="1"/>
  <c r="G22" i="1" s="1"/>
  <c r="F22" i="1"/>
  <c r="T22" i="1"/>
  <c r="AP22" i="1"/>
  <c r="Y23" i="1"/>
  <c r="AA23" i="1"/>
  <c r="A31" i="1"/>
  <c r="A45" i="1"/>
  <c r="A46" i="1"/>
  <c r="A50" i="1"/>
  <c r="A56" i="1"/>
  <c r="Q7" i="1" l="1"/>
  <c r="Q11" i="1"/>
  <c r="W6" i="1"/>
  <c r="X6" i="1" s="1"/>
  <c r="Y6" i="1"/>
  <c r="Z6" i="1" s="1"/>
  <c r="AA6" i="1"/>
  <c r="AB6" i="1" s="1"/>
  <c r="Q15" i="1"/>
  <c r="AE15" i="1"/>
  <c r="W21" i="1"/>
  <c r="X21" i="1" s="1"/>
  <c r="Y21" i="1"/>
  <c r="Z21" i="1" s="1"/>
  <c r="AA21" i="1"/>
  <c r="AB21" i="1" s="1"/>
  <c r="W14" i="1"/>
  <c r="X14" i="1" s="1"/>
  <c r="Y14" i="1"/>
  <c r="Z14" i="1" s="1"/>
  <c r="AA14" i="1"/>
  <c r="AB14" i="1" s="1"/>
  <c r="W9" i="1"/>
  <c r="X9" i="1" s="1"/>
  <c r="Y9" i="1"/>
  <c r="Z9" i="1" s="1"/>
  <c r="AA9" i="1"/>
  <c r="AB9" i="1" s="1"/>
  <c r="AH21" i="1"/>
  <c r="AH14" i="1"/>
  <c r="AH9" i="1"/>
  <c r="AH6" i="1"/>
  <c r="AH18" i="1"/>
  <c r="AE9" i="1"/>
  <c r="W22" i="1"/>
  <c r="X22" i="1" s="1"/>
  <c r="AQ17" i="1"/>
  <c r="Q16" i="1"/>
  <c r="AP13" i="1"/>
  <c r="Q12" i="1"/>
  <c r="AP5" i="1"/>
  <c r="U22" i="1"/>
  <c r="AA18" i="1"/>
  <c r="AB18" i="1" s="1"/>
  <c r="U15" i="1"/>
  <c r="AH13" i="1"/>
  <c r="U11" i="1"/>
  <c r="U7" i="1"/>
  <c r="AH5" i="1"/>
  <c r="AH17" i="1"/>
  <c r="AH8" i="1"/>
  <c r="J4" i="1"/>
  <c r="Y18" i="1"/>
  <c r="Z18" i="1" s="1"/>
  <c r="AE17" i="1"/>
  <c r="J22" i="1"/>
  <c r="AA13" i="1"/>
  <c r="AB13" i="1" s="1"/>
  <c r="AA5" i="1"/>
  <c r="AB5" i="1" s="1"/>
  <c r="AP4" i="1"/>
  <c r="H4" i="1"/>
  <c r="AE4" i="1" s="1"/>
  <c r="I22" i="1"/>
  <c r="AA17" i="1"/>
  <c r="AB17" i="1" s="1"/>
  <c r="AH16" i="1"/>
  <c r="J15" i="1"/>
  <c r="AH12" i="1"/>
  <c r="J11" i="1"/>
  <c r="AA8" i="1"/>
  <c r="AB8" i="1" s="1"/>
  <c r="J7" i="1"/>
  <c r="G4" i="1"/>
  <c r="AR22" i="1"/>
  <c r="H22" i="1"/>
  <c r="I15" i="1"/>
  <c r="I11" i="1"/>
  <c r="AE11" i="1" s="1"/>
  <c r="I7" i="1"/>
  <c r="AE7" i="1" s="1"/>
  <c r="AQ22" i="1"/>
  <c r="AQ15" i="1"/>
  <c r="S15" i="1" s="1"/>
  <c r="AQ11" i="1"/>
  <c r="S11" i="1" s="1"/>
  <c r="AQ7" i="1"/>
  <c r="S7" i="1" s="1"/>
  <c r="AH15" i="1" l="1"/>
  <c r="AH11" i="1"/>
  <c r="W11" i="1"/>
  <c r="X11" i="1" s="1"/>
  <c r="Y11" i="1"/>
  <c r="Z11" i="1" s="1"/>
  <c r="AA11" i="1"/>
  <c r="AB11" i="1" s="1"/>
  <c r="Q4" i="1"/>
  <c r="W7" i="1"/>
  <c r="X7" i="1" s="1"/>
  <c r="Y7" i="1"/>
  <c r="Z7" i="1" s="1"/>
  <c r="AA7" i="1"/>
  <c r="AB7" i="1" s="1"/>
  <c r="AA4" i="1"/>
  <c r="AB4" i="1" s="1"/>
  <c r="Y4" i="1"/>
  <c r="Z4" i="1" s="1"/>
  <c r="AE22" i="1"/>
  <c r="Q22" i="1"/>
  <c r="AH22" i="1"/>
  <c r="Y22" i="1"/>
  <c r="Z22" i="1" s="1"/>
  <c r="AA22" i="1"/>
  <c r="AB22" i="1" s="1"/>
  <c r="AH7" i="1"/>
  <c r="W15" i="1"/>
  <c r="X15" i="1" s="1"/>
  <c r="Y15" i="1"/>
  <c r="Z15" i="1" s="1"/>
  <c r="AA15" i="1"/>
  <c r="AB15" i="1" s="1"/>
  <c r="AH4" i="1"/>
</calcChain>
</file>

<file path=xl/sharedStrings.xml><?xml version="1.0" encoding="utf-8"?>
<sst xmlns="http://schemas.openxmlformats.org/spreadsheetml/2006/main" count="213" uniqueCount="168">
  <si>
    <t>25-0655-3</t>
  </si>
  <si>
    <t>กระเป๋าอก</t>
  </si>
  <si>
    <t>25-0655 -2</t>
  </si>
  <si>
    <t>สายรุ้ง</t>
  </si>
  <si>
    <t>25-0639-2</t>
  </si>
  <si>
    <t>จินตนา</t>
  </si>
  <si>
    <t>25-0697-1</t>
  </si>
  <si>
    <t>วงเดือน</t>
  </si>
  <si>
    <t>เครื่อง 5</t>
  </si>
  <si>
    <t>ขาหลัง</t>
  </si>
  <si>
    <t>25-0621-1</t>
  </si>
  <si>
    <t>ราตรี</t>
  </si>
  <si>
    <t>อกหน้าใน</t>
  </si>
  <si>
    <t>อกหน้านอก</t>
  </si>
  <si>
    <t>25-0642-2</t>
  </si>
  <si>
    <t>ชุติมันต์</t>
  </si>
  <si>
    <t>เครื่อง 3</t>
  </si>
  <si>
    <t>VSEW018</t>
  </si>
  <si>
    <t>VSEW017</t>
  </si>
  <si>
    <t>26-0397-3</t>
  </si>
  <si>
    <t>VSEW016</t>
  </si>
  <si>
    <t>VSEW014</t>
  </si>
  <si>
    <t>กระเป๋า</t>
  </si>
  <si>
    <t>26-0397-2</t>
  </si>
  <si>
    <t>ไลน์ ส้ม</t>
  </si>
  <si>
    <t>เครื่อง 2</t>
  </si>
  <si>
    <t>VSEW013</t>
  </si>
  <si>
    <t>VSEW012</t>
  </si>
  <si>
    <t>VSEW010</t>
  </si>
  <si>
    <t>VSEW009</t>
  </si>
  <si>
    <t>VSEW015</t>
  </si>
  <si>
    <t>ปกนอก</t>
  </si>
  <si>
    <t>VSEW007</t>
  </si>
  <si>
    <t>VSEW005</t>
  </si>
  <si>
    <t>VSEW004</t>
  </si>
  <si>
    <t>VSEW003</t>
  </si>
  <si>
    <t>VSEW001</t>
  </si>
  <si>
    <t>เครื่อง 1</t>
  </si>
  <si>
    <t>พร้อมเบิก</t>
  </si>
  <si>
    <t>รอเก็บ</t>
  </si>
  <si>
    <t>สถานะ</t>
  </si>
  <si>
    <t>จำนวน</t>
  </si>
  <si>
    <t xml:space="preserve">โต๊ะ </t>
  </si>
  <si>
    <t>ตำแหน่ง</t>
  </si>
  <si>
    <t>job</t>
  </si>
  <si>
    <t>ไลน์</t>
  </si>
  <si>
    <t>VS08+11</t>
  </si>
  <si>
    <t>VS02+06</t>
  </si>
  <si>
    <t>รอตรวจ</t>
  </si>
  <si>
    <t>25-0651-1 .T.3=155</t>
  </si>
  <si>
    <t>25-0651-1 .T.2=200</t>
  </si>
  <si>
    <t>นวลจันทร์+สุพิศ/ 50</t>
  </si>
  <si>
    <t>รอจัดงาน</t>
  </si>
  <si>
    <t>25-0643-3 T.8=180</t>
  </si>
  <si>
    <t>รอปัก</t>
  </si>
  <si>
    <t>25-0643-3 T.6,7=60+180 / รอตัดเปลี่ยนจากปัก T.7=60 ตัว</t>
  </si>
  <si>
    <t xml:space="preserve">นิภาพร + ชุติมันต์ </t>
  </si>
  <si>
    <t>ฟองน้ำ 
งาน Montbell</t>
  </si>
  <si>
    <t>add wip จัดงานรอเบิกเย็บ</t>
  </si>
  <si>
    <t xml:space="preserve">add ตัดรอจัดงานครบตัว </t>
  </si>
  <si>
    <t>LEADTIME
ไลน์เย็บ
ช่วง OT
16-32(ชม.)</t>
  </si>
  <si>
    <t>LEADTIME
ไลน์เย็บ
ช่วงบ่าย
16-32(ชม.)</t>
  </si>
  <si>
    <t>LEADTIME
ไลน์เย็บ
ช่วงเช้า
16-32(ชม.)</t>
  </si>
  <si>
    <t>WIP ตัดรอจัดงาน 4-12 ชม</t>
  </si>
  <si>
    <t>ยอดจัดงานรอเบิกเย็บทั้งวัน</t>
  </si>
  <si>
    <t>ยอดเย็บวันก่อน</t>
  </si>
  <si>
    <t>wipเย็บในไลน์</t>
  </si>
  <si>
    <t>รอตัดเก็บเศษ</t>
  </si>
  <si>
    <t>26-0684-2 T.17=300</t>
  </si>
  <si>
    <t>26-0684-2 T.15=300</t>
  </si>
  <si>
    <t>VSEW018 ผ้าพันคอ</t>
  </si>
  <si>
    <t>26-0355-1 T.3=150</t>
  </si>
  <si>
    <t>26-0355-1 T.1=37</t>
  </si>
  <si>
    <t xml:space="preserve">สำราญ / </t>
  </si>
  <si>
    <t>รอตัดฟองน้ำ</t>
  </si>
  <si>
    <t>26-0297-1 T.3,6=100+100</t>
  </si>
  <si>
    <t>26-0297-1 T.1,2=75+100</t>
  </si>
  <si>
    <t xml:space="preserve">T.3 </t>
  </si>
  <si>
    <t xml:space="preserve">อรอนงค์ / </t>
  </si>
  <si>
    <t>รอ Pad Print</t>
  </si>
  <si>
    <t xml:space="preserve">26-0328-1 T.6=180 </t>
  </si>
  <si>
    <t xml:space="preserve">26-0328-1 T.5=180 </t>
  </si>
  <si>
    <t>รำไพ /</t>
  </si>
  <si>
    <t>จัดงานส่งปักช้า</t>
  </si>
  <si>
    <t>25-0655-2 T.9=200</t>
  </si>
  <si>
    <r>
      <rPr>
        <sz val="14"/>
        <color rgb="FF000000"/>
        <rFont val="Cordia New"/>
      </rPr>
      <t>25-0655-2 T.7=80พร้อมส่ง
25-0655-2 T.8=200</t>
    </r>
    <r>
      <rPr>
        <sz val="14"/>
        <color rgb="FFFF0000"/>
        <rFont val="Cordia New"/>
      </rPr>
      <t xml:space="preserve"> </t>
    </r>
  </si>
  <si>
    <t xml:space="preserve">สายรุ้ง / </t>
  </si>
  <si>
    <t>รอจัดงานส่งงานเรียง</t>
  </si>
  <si>
    <t>นัดเบิก 18.30</t>
  </si>
  <si>
    <t>25-0621-1 T.8=180</t>
  </si>
  <si>
    <t>25-0621-1 T.7=180</t>
  </si>
  <si>
    <t xml:space="preserve">ราตรี / </t>
  </si>
  <si>
    <t>รอเรียงวีราเน่</t>
  </si>
  <si>
    <t>26-0314-5.T.21,22,14,15=80+25+14+7
26-0314-4 T.1,2=180+180</t>
  </si>
  <si>
    <r>
      <rPr>
        <sz val="14"/>
        <color rgb="FF000000"/>
        <rFont val="Cordia New"/>
      </rPr>
      <t>26-0314-5.T.19=180
26-0314-5 T.20=180</t>
    </r>
    <r>
      <rPr>
        <sz val="14"/>
        <color rgb="FFFF0000"/>
        <rFont val="Cordia New"/>
      </rPr>
      <t xml:space="preserve"> </t>
    </r>
  </si>
  <si>
    <t>นิชารัศ /</t>
  </si>
  <si>
    <t>รอตัดครบตัว</t>
  </si>
  <si>
    <t xml:space="preserve">26-0329-1 T.3.=180 นัดเบิก 18.30
</t>
  </si>
  <si>
    <t xml:space="preserve">26-0329-1 T.2.=180
</t>
  </si>
  <si>
    <t>26-0313-1 T.30,42,43=128
26-0329-2 T.1=180</t>
  </si>
  <si>
    <t xml:space="preserve">สัมฤทธิ์ / </t>
  </si>
  <si>
    <t>เช้าไม่เบิก</t>
  </si>
  <si>
    <t>บ่ายไม่เบิก</t>
  </si>
  <si>
    <t xml:space="preserve">26-0330-1 T.5=180 </t>
  </si>
  <si>
    <t xml:space="preserve">26-0330-1 T.3=144 
</t>
  </si>
  <si>
    <t>26-0330-1 T.4,3=60+180 มีพร้อมเบิก</t>
  </si>
  <si>
    <t>ปัญญาพร /</t>
  </si>
  <si>
    <t>รอตัด</t>
  </si>
  <si>
    <t>26-0397-2 T.2=84
26-0397-2 T.3=55 นัดเบิก 18.00</t>
  </si>
  <si>
    <t>26-0397-2 T.1,2=120+24</t>
  </si>
  <si>
    <t>26-0397-2 T.1=200</t>
  </si>
  <si>
    <t xml:space="preserve">ส้ม / </t>
  </si>
  <si>
    <t>รอพิมพ์</t>
  </si>
  <si>
    <t>25-0639-2  T.6=220</t>
  </si>
  <si>
    <t>25-0639-2  T.5=220</t>
  </si>
  <si>
    <t xml:space="preserve">25-0639-2  T.4=220 </t>
  </si>
  <si>
    <t>จินตนา  /</t>
  </si>
  <si>
    <t>รอฟิวล์</t>
  </si>
  <si>
    <t>นัดเบิก 09.00 น.</t>
  </si>
  <si>
    <t>25-0697-1 T,2,3=120+28</t>
  </si>
  <si>
    <t>26-0323-3 T.3,4,5,6=12+40+9+5 จบ งานล็อค</t>
  </si>
  <si>
    <t>วงเดือน /</t>
  </si>
  <si>
    <t>26-0323-3 T.23=180 มีพร้อมเบิก</t>
  </si>
  <si>
    <t>26-0323-3 T.22=180</t>
  </si>
  <si>
    <t>26-0323-3 T.20,21=180+180</t>
  </si>
  <si>
    <t xml:space="preserve">พิไลย์ / </t>
  </si>
  <si>
    <t>กระจายไลน์</t>
  </si>
  <si>
    <t xml:space="preserve">26-0331-3 T.7=180 </t>
  </si>
  <si>
    <t xml:space="preserve">26-0331-3 T.5=180 </t>
  </si>
  <si>
    <t xml:space="preserve">26-0331-3 T.3,4=90+180 </t>
  </si>
  <si>
    <t xml:space="preserve">วารินทร์ / </t>
  </si>
  <si>
    <t>8;00</t>
  </si>
  <si>
    <t>ไม่มี ot</t>
  </si>
  <si>
    <t>ot</t>
  </si>
  <si>
    <t>OTP เย็บ 
15/08</t>
  </si>
  <si>
    <t>ตัดรอจัดงาน</t>
  </si>
  <si>
    <t>ข้อมูลสาเหตุห้ามลบ</t>
  </si>
  <si>
    <t>รายละเอียด ot</t>
  </si>
  <si>
    <t xml:space="preserve">สาเหตุที่ไม่ได้เป้าot </t>
  </si>
  <si>
    <t>ขาดเป้าot (ครบวัน)</t>
  </si>
  <si>
    <t>รายละเอียด</t>
  </si>
  <si>
    <t>ขาดเป้าบ่าย</t>
  </si>
  <si>
    <t>สาเหตุที่ไม่ได้เป้าเช้า</t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</si>
  <si>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 OT
 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</si>
  <si>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ช่วงบ่าย
10-16(ชม.)</t>
    </r>
  </si>
  <si>
    <r>
      <rPr>
        <b/>
        <sz val="11"/>
        <color theme="1"/>
        <rFont val="Browallia New"/>
      </rPr>
      <t>LEADTIME</t>
    </r>
    <r>
      <rPr>
        <b/>
        <sz val="12"/>
        <color theme="1"/>
        <rFont val="Browallia New"/>
      </rPr>
      <t xml:space="preserve">
ไลน์เย็บ
ช่วงเช้า
10-16(ชม.)</t>
    </r>
  </si>
  <si>
    <t xml:space="preserve">WIP ตัดรอจัดงาน 4-12 ชม
</t>
  </si>
  <si>
    <t>ขาดเป้าเช้า</t>
  </si>
  <si>
    <t xml:space="preserve">OT </t>
  </si>
  <si>
    <t xml:space="preserve">บ่าย </t>
  </si>
  <si>
    <t xml:space="preserve">เช้า </t>
  </si>
  <si>
    <t>เป้า ot</t>
  </si>
  <si>
    <t>เป้าบ่าย</t>
  </si>
  <si>
    <t xml:space="preserve">เป้าเช้า </t>
  </si>
  <si>
    <t>เป้าไม่มี OT</t>
  </si>
  <si>
    <t>เป้าวันot</t>
  </si>
  <si>
    <t>เป้า : ชม</t>
  </si>
  <si>
    <r>
      <rPr>
        <sz val="11"/>
        <color rgb="FF000000"/>
        <rFont val="Browallia New"/>
      </rPr>
      <t xml:space="preserve">OTP เย็บ
สีแดง= 
</t>
    </r>
    <r>
      <rPr>
        <sz val="11"/>
        <color rgb="FFFF0000"/>
        <rFont val="Browallia New"/>
      </rPr>
      <t>ให้มากกว่าเย็บได้วันก่อน</t>
    </r>
  </si>
  <si>
    <t xml:space="preserve">เป้า:ชม
 แผน
OTP 100 
</t>
  </si>
  <si>
    <t>ไลน์เย็บ</t>
  </si>
  <si>
    <t>x เป้าเย็บตาม OTP</t>
  </si>
  <si>
    <t>นิ//พี่หนู</t>
  </si>
  <si>
    <t>'</t>
  </si>
  <si>
    <t>เช็คสูตร</t>
  </si>
  <si>
    <t xml:space="preserve"> </t>
  </si>
  <si>
    <t>อ.2</t>
  </si>
  <si>
    <t>อ.1</t>
  </si>
  <si>
    <t>รายงาน Buffer ประจำวัน 17/08/2569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</si>
</sst>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42" x14ac:knownFonts="1">
    <font>
      <sz val="10"/>
      <color rgb="FF000000"/>
      <name val="Arial"/>
      <scheme val="minor"/>
    </font>
    <font>
      <sz val="12"/>
      <color theme="1"/>
      <name val="Browallia New"/>
    </font>
    <font>
      <sz val="15"/>
      <color theme="1"/>
      <name val="Browallia New"/>
    </font>
    <font>
      <sz val="12"/>
      <color rgb="FF000000"/>
      <name val="Browallia New"/>
    </font>
    <font>
      <sz val="10"/>
      <color theme="1"/>
      <name val="Arial"/>
    </font>
    <font>
      <sz val="11"/>
      <color theme="1"/>
      <name val="Browallia New"/>
    </font>
    <font>
      <sz val="10"/>
      <name val="Arial"/>
    </font>
    <font>
      <sz val="12"/>
      <color rgb="FFFF0000"/>
      <name val="Browallia New"/>
    </font>
    <font>
      <sz val="13"/>
      <color rgb="FF000000"/>
      <name val="Browallia New"/>
    </font>
    <font>
      <sz val="10"/>
      <color theme="1"/>
      <name val="Arial"/>
      <scheme val="minor"/>
    </font>
    <font>
      <sz val="15"/>
      <color rgb="FF000000"/>
      <name val="Browallia New"/>
    </font>
    <font>
      <u/>
      <sz val="12"/>
      <color theme="1"/>
      <name val="Browallia New"/>
    </font>
    <font>
      <b/>
      <sz val="12"/>
      <color theme="1"/>
      <name val="Browallia New"/>
    </font>
    <font>
      <sz val="11"/>
      <color rgb="FF000000"/>
      <name val="Browallia New"/>
    </font>
    <font>
      <sz val="11"/>
      <color rgb="FFFFFFFF"/>
      <name val="Browallia New"/>
    </font>
    <font>
      <sz val="14"/>
      <color theme="1"/>
      <name val="Cordia New"/>
    </font>
    <font>
      <sz val="12"/>
      <color rgb="FF008000"/>
      <name val="Browallia New"/>
    </font>
    <font>
      <sz val="14"/>
      <color rgb="FF000000"/>
      <name val="Cordia New"/>
    </font>
    <font>
      <sz val="12"/>
      <color rgb="FF0000FF"/>
      <name val="Browallia New"/>
    </font>
    <font>
      <sz val="11"/>
      <color rgb="FF0000FF"/>
      <name val="Browallia New"/>
    </font>
    <font>
      <sz val="15"/>
      <color rgb="FFFF0000"/>
      <name val="Browallia New"/>
    </font>
    <font>
      <b/>
      <sz val="11"/>
      <color rgb="FF000000"/>
      <name val="Browallia New"/>
    </font>
    <font>
      <b/>
      <sz val="12"/>
      <color rgb="FFFF0000"/>
      <name val="Browallia New"/>
    </font>
    <font>
      <b/>
      <sz val="14"/>
      <color rgb="FFFF0000"/>
      <name val="Browallia New"/>
    </font>
    <font>
      <b/>
      <sz val="12"/>
      <color rgb="FF008000"/>
      <name val="Browallia New"/>
    </font>
    <font>
      <b/>
      <sz val="14"/>
      <color rgb="FF000000"/>
      <name val="Browallia New"/>
    </font>
    <font>
      <b/>
      <sz val="14"/>
      <color rgb="FFFFFFFF"/>
      <name val="Browallia New"/>
    </font>
    <font>
      <b/>
      <sz val="12"/>
      <color rgb="FF000000"/>
      <name val="Browallia New"/>
    </font>
    <font>
      <b/>
      <sz val="13"/>
      <color theme="1"/>
      <name val="Browallia New"/>
    </font>
    <font>
      <b/>
      <sz val="9"/>
      <color theme="1"/>
      <name val="Browallia New"/>
    </font>
    <font>
      <sz val="10"/>
      <color rgb="FF000000"/>
      <name val="Browallia New"/>
    </font>
    <font>
      <sz val="10"/>
      <color rgb="FF000000"/>
      <name val="Arial"/>
    </font>
    <font>
      <sz val="11"/>
      <color rgb="FF000000"/>
      <name val="Cordia New"/>
    </font>
    <font>
      <sz val="14"/>
      <color rgb="FFFF0000"/>
      <name val="Cordia New"/>
    </font>
    <font>
      <sz val="10"/>
      <color rgb="FFFFFFFF"/>
      <name val="Browallia New"/>
    </font>
    <font>
      <sz val="12"/>
      <color rgb="FF666666"/>
      <name val="Browallia New"/>
    </font>
    <font>
      <sz val="13"/>
      <color rgb="FFFF0000"/>
      <name val="Browallia New"/>
    </font>
    <font>
      <b/>
      <sz val="11"/>
      <color rgb="FF008000"/>
      <name val="Browallia New"/>
    </font>
    <font>
      <sz val="13"/>
      <color rgb="FFFFFFFF"/>
      <name val="Browallia New"/>
    </font>
    <font>
      <b/>
      <sz val="11"/>
      <color theme="1"/>
      <name val="Browallia New"/>
    </font>
    <font>
      <b/>
      <sz val="13"/>
      <color rgb="FF000000"/>
      <name val="Browallia New"/>
    </font>
    <font>
      <sz val="11"/>
      <color rgb="FFFF0000"/>
      <name val="Browallia New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CCFFCC"/>
        <bgColor rgb="FFCCFFCC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FFFFCC"/>
      </patternFill>
    </fill>
    <fill>
      <patternFill patternType="solid">
        <fgColor rgb="FFF3F3F3"/>
        <bgColor rgb="FFF3F3F3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CC0000"/>
        <bgColor rgb="FFCC0000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  <fill>
      <patternFill patternType="solid">
        <fgColor rgb="FF980000"/>
        <bgColor rgb="FF980000"/>
      </patternFill>
    </fill>
    <fill>
      <patternFill patternType="solid">
        <fgColor rgb="FFEFEFEF"/>
        <bgColor rgb="FFEFEFEF"/>
      </patternFill>
    </fill>
    <fill>
      <patternFill patternType="solid">
        <fgColor rgb="FFFFCC99"/>
        <bgColor rgb="FFFFCC99"/>
      </patternFill>
    </fill>
    <fill>
      <patternFill patternType="solid">
        <fgColor rgb="FFFF0000"/>
        <bgColor rgb="FFFF0000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3" fontId="3" fillId="0" borderId="0" xfId="0" applyNumberFormat="1" applyFont="1" applyAlignment="1">
      <alignment horizontal="right"/>
    </xf>
    <xf numFmtId="3" fontId="3" fillId="2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/>
    <xf numFmtId="0" fontId="3" fillId="2" borderId="0" xfId="0" applyFont="1" applyFill="1" applyAlignment="1">
      <alignment horizontal="center" vertical="center"/>
    </xf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4" xfId="0" applyFont="1" applyBorder="1"/>
    <xf numFmtId="0" fontId="4" fillId="0" borderId="5" xfId="0" applyFont="1" applyBorder="1"/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8" xfId="0" applyFont="1" applyBorder="1"/>
    <xf numFmtId="0" fontId="6" fillId="0" borderId="5" xfId="0" applyFont="1" applyBorder="1"/>
    <xf numFmtId="0" fontId="1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4" borderId="9" xfId="0" applyFont="1" applyFill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left"/>
    </xf>
    <xf numFmtId="3" fontId="8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4" fillId="0" borderId="7" xfId="0" applyFont="1" applyBorder="1" applyAlignment="1">
      <alignment horizontal="left"/>
    </xf>
    <xf numFmtId="0" fontId="9" fillId="2" borderId="0" xfId="0" applyFont="1" applyFill="1"/>
    <xf numFmtId="0" fontId="4" fillId="4" borderId="5" xfId="0" applyFont="1" applyFill="1" applyBorder="1"/>
    <xf numFmtId="0" fontId="7" fillId="0" borderId="0" xfId="0" applyFont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3" fontId="2" fillId="2" borderId="0" xfId="0" applyNumberFormat="1" applyFont="1" applyFill="1" applyAlignment="1">
      <alignment vertical="center"/>
    </xf>
    <xf numFmtId="10" fontId="10" fillId="2" borderId="0" xfId="0" applyNumberFormat="1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5" xfId="0" applyFont="1" applyBorder="1" applyAlignment="1">
      <alignment horizontal="left"/>
    </xf>
    <xf numFmtId="0" fontId="6" fillId="0" borderId="12" xfId="0" applyFont="1" applyBorder="1"/>
    <xf numFmtId="0" fontId="5" fillId="2" borderId="0" xfId="0" applyFont="1" applyFill="1" applyAlignment="1">
      <alignment horizontal="center" vertical="center"/>
    </xf>
    <xf numFmtId="0" fontId="6" fillId="0" borderId="14" xfId="0" applyFont="1" applyBorder="1"/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vertical="center"/>
    </xf>
    <xf numFmtId="0" fontId="4" fillId="6" borderId="13" xfId="0" applyFont="1" applyFill="1" applyBorder="1"/>
    <xf numFmtId="0" fontId="4" fillId="0" borderId="9" xfId="0" applyFont="1" applyBorder="1"/>
    <xf numFmtId="0" fontId="11" fillId="0" borderId="0" xfId="0" applyFont="1"/>
    <xf numFmtId="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4" fillId="2" borderId="1" xfId="0" applyFont="1" applyFill="1" applyBorder="1"/>
    <xf numFmtId="10" fontId="12" fillId="5" borderId="0" xfId="0" applyNumberFormat="1" applyFont="1" applyFill="1" applyAlignment="1">
      <alignment horizontal="center" vertical="center" wrapText="1"/>
    </xf>
    <xf numFmtId="10" fontId="12" fillId="5" borderId="1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/>
    </xf>
    <xf numFmtId="9" fontId="10" fillId="4" borderId="1" xfId="0" applyNumberFormat="1" applyFont="1" applyFill="1" applyBorder="1" applyAlignment="1">
      <alignment vertical="center"/>
    </xf>
    <xf numFmtId="3" fontId="13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3" fillId="7" borderId="1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3" fontId="7" fillId="2" borderId="10" xfId="0" applyNumberFormat="1" applyFont="1" applyFill="1" applyBorder="1" applyAlignment="1">
      <alignment vertical="center"/>
    </xf>
    <xf numFmtId="3" fontId="16" fillId="2" borderId="2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/>
    </xf>
    <xf numFmtId="3" fontId="18" fillId="2" borderId="1" xfId="0" applyNumberFormat="1" applyFont="1" applyFill="1" applyBorder="1" applyAlignment="1">
      <alignment horizontal="right" vertical="center"/>
    </xf>
    <xf numFmtId="3" fontId="18" fillId="2" borderId="1" xfId="0" applyNumberFormat="1" applyFont="1" applyFill="1" applyBorder="1" applyAlignment="1">
      <alignment vertical="center"/>
    </xf>
    <xf numFmtId="3" fontId="7" fillId="2" borderId="10" xfId="0" applyNumberFormat="1" applyFont="1" applyFill="1" applyBorder="1" applyAlignment="1">
      <alignment horizontal="right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3" fontId="1" fillId="9" borderId="11" xfId="0" applyNumberFormat="1" applyFont="1" applyFill="1" applyBorder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9" fontId="7" fillId="3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/>
    </xf>
    <xf numFmtId="3" fontId="18" fillId="0" borderId="12" xfId="0" applyNumberFormat="1" applyFont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3" fontId="1" fillId="11" borderId="7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1" fillId="5" borderId="1" xfId="0" applyNumberFormat="1" applyFont="1" applyFill="1" applyBorder="1" applyAlignment="1">
      <alignment horizontal="center" vertical="center" wrapText="1"/>
    </xf>
    <xf numFmtId="3" fontId="21" fillId="12" borderId="1" xfId="0" applyNumberFormat="1" applyFont="1" applyFill="1" applyBorder="1" applyAlignment="1">
      <alignment horizontal="center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3" fontId="12" fillId="13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3" fontId="22" fillId="2" borderId="1" xfId="0" applyNumberFormat="1" applyFont="1" applyFill="1" applyBorder="1" applyAlignment="1">
      <alignment horizontal="center" vertical="center" wrapText="1"/>
    </xf>
    <xf numFmtId="4" fontId="23" fillId="2" borderId="1" xfId="0" applyNumberFormat="1" applyFont="1" applyFill="1" applyBorder="1" applyAlignment="1">
      <alignment horizontal="center" vertical="center" wrapText="1"/>
    </xf>
    <xf numFmtId="3" fontId="24" fillId="7" borderId="1" xfId="0" applyNumberFormat="1" applyFont="1" applyFill="1" applyBorder="1" applyAlignment="1">
      <alignment horizontal="center" vertical="center" wrapText="1"/>
    </xf>
    <xf numFmtId="4" fontId="25" fillId="2" borderId="1" xfId="0" applyNumberFormat="1" applyFont="1" applyFill="1" applyBorder="1" applyAlignment="1">
      <alignment horizontal="center" vertical="center" wrapText="1"/>
    </xf>
    <xf numFmtId="4" fontId="26" fillId="8" borderId="6" xfId="0" applyNumberFormat="1" applyFont="1" applyFill="1" applyBorder="1" applyAlignment="1">
      <alignment horizontal="center" vertical="center" wrapText="1"/>
    </xf>
    <xf numFmtId="4" fontId="12" fillId="10" borderId="1" xfId="0" applyNumberFormat="1" applyFont="1" applyFill="1" applyBorder="1" applyAlignment="1">
      <alignment horizontal="center" vertical="center" wrapText="1"/>
    </xf>
    <xf numFmtId="4" fontId="27" fillId="14" borderId="1" xfId="0" applyNumberFormat="1" applyFont="1" applyFill="1" applyBorder="1" applyAlignment="1">
      <alignment horizontal="center" vertical="center" wrapText="1"/>
    </xf>
    <xf numFmtId="4" fontId="27" fillId="15" borderId="1" xfId="0" applyNumberFormat="1" applyFont="1" applyFill="1" applyBorder="1" applyAlignment="1">
      <alignment horizontal="center" vertical="center" wrapText="1"/>
    </xf>
    <xf numFmtId="4" fontId="27" fillId="10" borderId="1" xfId="0" applyNumberFormat="1" applyFont="1" applyFill="1" applyBorder="1" applyAlignment="1">
      <alignment horizontal="center" vertical="center" wrapText="1"/>
    </xf>
    <xf numFmtId="3" fontId="24" fillId="7" borderId="10" xfId="0" applyNumberFormat="1" applyFont="1" applyFill="1" applyBorder="1" applyAlignment="1">
      <alignment horizontal="center" vertical="center" wrapText="1"/>
    </xf>
    <xf numFmtId="0" fontId="6" fillId="0" borderId="16" xfId="0" applyFont="1" applyBorder="1"/>
    <xf numFmtId="3" fontId="28" fillId="14" borderId="20" xfId="0" applyNumberFormat="1" applyFont="1" applyFill="1" applyBorder="1" applyAlignment="1">
      <alignment horizontal="center" vertical="center" wrapText="1"/>
    </xf>
    <xf numFmtId="3" fontId="28" fillId="14" borderId="19" xfId="0" applyNumberFormat="1" applyFont="1" applyFill="1" applyBorder="1" applyAlignment="1">
      <alignment horizontal="center" vertical="center" wrapText="1"/>
    </xf>
    <xf numFmtId="3" fontId="12" fillId="9" borderId="1" xfId="0" applyNumberFormat="1" applyFont="1" applyFill="1" applyBorder="1" applyAlignment="1">
      <alignment horizontal="center" vertical="center" wrapText="1"/>
    </xf>
    <xf numFmtId="3" fontId="29" fillId="10" borderId="1" xfId="0" applyNumberFormat="1" applyFont="1" applyFill="1" applyBorder="1" applyAlignment="1">
      <alignment horizontal="center" vertical="center" wrapText="1"/>
    </xf>
    <xf numFmtId="3" fontId="29" fillId="14" borderId="1" xfId="0" applyNumberFormat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3" fontId="30" fillId="16" borderId="0" xfId="0" applyNumberFormat="1" applyFont="1" applyFill="1" applyAlignment="1">
      <alignment horizontal="center" vertical="center"/>
    </xf>
    <xf numFmtId="3" fontId="30" fillId="16" borderId="1" xfId="0" applyNumberFormat="1" applyFont="1" applyFill="1" applyBorder="1" applyAlignment="1">
      <alignment horizontal="center" vertical="center"/>
    </xf>
    <xf numFmtId="3" fontId="13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vertical="center"/>
    </xf>
    <xf numFmtId="4" fontId="4" fillId="16" borderId="1" xfId="0" applyNumberFormat="1" applyFont="1" applyFill="1" applyBorder="1" applyAlignment="1">
      <alignment vertical="center"/>
    </xf>
    <xf numFmtId="3" fontId="4" fillId="16" borderId="1" xfId="0" applyNumberFormat="1" applyFont="1" applyFill="1" applyBorder="1" applyAlignment="1">
      <alignment vertical="center"/>
    </xf>
    <xf numFmtId="3" fontId="15" fillId="16" borderId="1" xfId="0" applyNumberFormat="1" applyFont="1" applyFill="1" applyBorder="1" applyAlignment="1">
      <alignment vertical="center"/>
    </xf>
    <xf numFmtId="3" fontId="1" fillId="16" borderId="1" xfId="0" applyNumberFormat="1" applyFont="1" applyFill="1" applyBorder="1" applyAlignment="1">
      <alignment horizontal="center" vertical="center"/>
    </xf>
    <xf numFmtId="3" fontId="5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horizontal="center" vertical="center"/>
    </xf>
    <xf numFmtId="3" fontId="18" fillId="16" borderId="1" xfId="0" applyNumberFormat="1" applyFont="1" applyFill="1" applyBorder="1" applyAlignment="1">
      <alignment horizontal="center" vertical="center"/>
    </xf>
    <xf numFmtId="3" fontId="1" fillId="16" borderId="10" xfId="0" applyNumberFormat="1" applyFont="1" applyFill="1" applyBorder="1" applyAlignment="1">
      <alignment horizontal="center" vertical="center"/>
    </xf>
    <xf numFmtId="3" fontId="31" fillId="16" borderId="16" xfId="0" applyNumberFormat="1" applyFont="1" applyFill="1" applyBorder="1" applyAlignment="1">
      <alignment vertical="center"/>
    </xf>
    <xf numFmtId="3" fontId="31" fillId="16" borderId="17" xfId="0" applyNumberFormat="1" applyFont="1" applyFill="1" applyBorder="1" applyAlignment="1">
      <alignment vertical="center"/>
    </xf>
    <xf numFmtId="3" fontId="1" fillId="16" borderId="18" xfId="0" applyNumberFormat="1" applyFont="1" applyFill="1" applyBorder="1" applyAlignment="1">
      <alignment horizontal="center" vertical="center"/>
    </xf>
    <xf numFmtId="3" fontId="1" fillId="16" borderId="19" xfId="0" applyNumberFormat="1" applyFont="1" applyFill="1" applyBorder="1" applyAlignment="1">
      <alignment horizontal="center" vertical="center"/>
    </xf>
    <xf numFmtId="3" fontId="1" fillId="16" borderId="11" xfId="0" applyNumberFormat="1" applyFont="1" applyFill="1" applyBorder="1" applyAlignment="1">
      <alignment horizontal="center" vertical="center"/>
    </xf>
    <xf numFmtId="3" fontId="4" fillId="16" borderId="0" xfId="0" applyNumberFormat="1" applyFont="1" applyFill="1" applyAlignment="1">
      <alignment vertical="center"/>
    </xf>
    <xf numFmtId="9" fontId="2" fillId="4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8" fillId="7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9" fontId="20" fillId="4" borderId="1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9" fontId="7" fillId="2" borderId="1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 wrapText="1"/>
    </xf>
    <xf numFmtId="0" fontId="3" fillId="2" borderId="19" xfId="0" applyFont="1" applyFill="1" applyBorder="1" applyAlignment="1">
      <alignment horizontal="center" vertical="center"/>
    </xf>
    <xf numFmtId="0" fontId="1" fillId="11" borderId="0" xfId="0" applyFont="1" applyFill="1" applyAlignment="1">
      <alignment vertical="center" wrapText="1"/>
    </xf>
    <xf numFmtId="9" fontId="30" fillId="16" borderId="1" xfId="0" applyNumberFormat="1" applyFont="1" applyFill="1" applyBorder="1" applyAlignment="1">
      <alignment horizontal="center" vertical="center"/>
    </xf>
    <xf numFmtId="3" fontId="34" fillId="16" borderId="1" xfId="0" applyNumberFormat="1" applyFont="1" applyFill="1" applyBorder="1" applyAlignment="1">
      <alignment horizontal="center" vertical="center"/>
    </xf>
    <xf numFmtId="3" fontId="8" fillId="16" borderId="1" xfId="0" applyNumberFormat="1" applyFont="1" applyFill="1" applyBorder="1" applyAlignment="1">
      <alignment vertical="center"/>
    </xf>
    <xf numFmtId="4" fontId="35" fillId="16" borderId="1" xfId="0" applyNumberFormat="1" applyFont="1" applyFill="1" applyBorder="1" applyAlignment="1">
      <alignment vertical="center"/>
    </xf>
    <xf numFmtId="3" fontId="18" fillId="2" borderId="2" xfId="0" applyNumberFormat="1" applyFont="1" applyFill="1" applyBorder="1" applyAlignment="1">
      <alignment horizontal="right" vertical="center"/>
    </xf>
    <xf numFmtId="3" fontId="1" fillId="7" borderId="10" xfId="0" applyNumberFormat="1" applyFont="1" applyFill="1" applyBorder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3" fontId="36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vertical="center"/>
    </xf>
    <xf numFmtId="3" fontId="1" fillId="5" borderId="2" xfId="0" applyNumberFormat="1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vertical="center"/>
    </xf>
    <xf numFmtId="3" fontId="7" fillId="2" borderId="14" xfId="0" applyNumberFormat="1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3" fontId="1" fillId="9" borderId="8" xfId="0" applyNumberFormat="1" applyFont="1" applyFill="1" applyBorder="1" applyAlignment="1">
      <alignment horizontal="center" vertical="center"/>
    </xf>
    <xf numFmtId="3" fontId="1" fillId="9" borderId="2" xfId="0" applyNumberFormat="1" applyFont="1" applyFill="1" applyBorder="1" applyAlignment="1">
      <alignment horizontal="center" vertical="center"/>
    </xf>
    <xf numFmtId="3" fontId="1" fillId="10" borderId="2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6" fillId="0" borderId="25" xfId="0" applyFont="1" applyBorder="1"/>
    <xf numFmtId="3" fontId="13" fillId="0" borderId="11" xfId="0" applyNumberFormat="1" applyFont="1" applyBorder="1" applyAlignment="1">
      <alignment horizontal="center" vertical="center"/>
    </xf>
    <xf numFmtId="0" fontId="6" fillId="0" borderId="26" xfId="0" applyFont="1" applyBorder="1"/>
    <xf numFmtId="3" fontId="7" fillId="2" borderId="27" xfId="0" applyNumberFormat="1" applyFont="1" applyFill="1" applyBorder="1" applyAlignment="1">
      <alignment vertical="center"/>
    </xf>
    <xf numFmtId="0" fontId="15" fillId="0" borderId="27" xfId="0" applyFont="1" applyBorder="1"/>
    <xf numFmtId="3" fontId="7" fillId="2" borderId="28" xfId="0" applyNumberFormat="1" applyFont="1" applyFill="1" applyBorder="1" applyAlignment="1">
      <alignment vertical="center"/>
    </xf>
    <xf numFmtId="4" fontId="26" fillId="8" borderId="6" xfId="0" applyNumberFormat="1" applyFont="1" applyFill="1" applyBorder="1" applyAlignment="1">
      <alignment horizontal="center" wrapText="1"/>
    </xf>
    <xf numFmtId="4" fontId="12" fillId="10" borderId="29" xfId="0" applyNumberFormat="1" applyFont="1" applyFill="1" applyBorder="1" applyAlignment="1">
      <alignment horizontal="center" vertical="center" wrapText="1"/>
    </xf>
    <xf numFmtId="0" fontId="6" fillId="0" borderId="29" xfId="0" applyFont="1" applyBorder="1"/>
    <xf numFmtId="4" fontId="27" fillId="14" borderId="29" xfId="0" applyNumberFormat="1" applyFont="1" applyFill="1" applyBorder="1" applyAlignment="1">
      <alignment horizontal="center" vertical="center" wrapText="1"/>
    </xf>
    <xf numFmtId="4" fontId="27" fillId="15" borderId="29" xfId="0" applyNumberFormat="1" applyFont="1" applyFill="1" applyBorder="1" applyAlignment="1">
      <alignment horizontal="center" vertical="center" wrapText="1"/>
    </xf>
    <xf numFmtId="4" fontId="27" fillId="10" borderId="30" xfId="0" applyNumberFormat="1" applyFont="1" applyFill="1" applyBorder="1" applyAlignment="1">
      <alignment horizontal="center" vertical="center" wrapText="1"/>
    </xf>
    <xf numFmtId="3" fontId="37" fillId="7" borderId="29" xfId="0" applyNumberFormat="1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20" fontId="3" fillId="2" borderId="32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0" xfId="0" applyFont="1" applyFill="1"/>
    <xf numFmtId="3" fontId="7" fillId="2" borderId="0" xfId="0" applyNumberFormat="1" applyFont="1" applyFill="1" applyAlignment="1">
      <alignment vertical="center" wrapText="1"/>
    </xf>
    <xf numFmtId="0" fontId="13" fillId="4" borderId="36" xfId="0" applyFont="1" applyFill="1" applyBorder="1" applyAlignment="1">
      <alignment horizontal="center" vertical="center" wrapText="1"/>
    </xf>
    <xf numFmtId="3" fontId="21" fillId="5" borderId="11" xfId="0" applyNumberFormat="1" applyFont="1" applyFill="1" applyBorder="1" applyAlignment="1">
      <alignment horizontal="center" vertical="center" wrapText="1"/>
    </xf>
    <xf numFmtId="0" fontId="13" fillId="7" borderId="36" xfId="0" applyFont="1" applyFill="1" applyBorder="1" applyAlignment="1">
      <alignment horizontal="center" vertical="center" wrapText="1"/>
    </xf>
    <xf numFmtId="0" fontId="38" fillId="17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" fontId="12" fillId="10" borderId="7" xfId="0" applyNumberFormat="1" applyFont="1" applyFill="1" applyBorder="1" applyAlignment="1">
      <alignment horizontal="center" vertical="center" wrapText="1"/>
    </xf>
    <xf numFmtId="4" fontId="23" fillId="2" borderId="10" xfId="0" applyNumberFormat="1" applyFont="1" applyFill="1" applyBorder="1" applyAlignment="1">
      <alignment horizontal="center" vertical="center" wrapText="1"/>
    </xf>
    <xf numFmtId="0" fontId="6" fillId="0" borderId="6" xfId="0" applyFont="1" applyBorder="1"/>
    <xf numFmtId="4" fontId="12" fillId="10" borderId="9" xfId="0" applyNumberFormat="1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4" fontId="27" fillId="14" borderId="7" xfId="0" applyNumberFormat="1" applyFont="1" applyFill="1" applyBorder="1" applyAlignment="1">
      <alignment horizontal="center" vertical="center" wrapText="1"/>
    </xf>
    <xf numFmtId="4" fontId="27" fillId="15" borderId="7" xfId="0" applyNumberFormat="1" applyFont="1" applyFill="1" applyBorder="1" applyAlignment="1">
      <alignment horizontal="center" vertical="center" wrapText="1"/>
    </xf>
    <xf numFmtId="4" fontId="27" fillId="10" borderId="9" xfId="0" applyNumberFormat="1" applyFont="1" applyFill="1" applyBorder="1" applyAlignment="1">
      <alignment horizontal="center" vertical="center" wrapText="1"/>
    </xf>
    <xf numFmtId="3" fontId="37" fillId="7" borderId="7" xfId="0" applyNumberFormat="1" applyFont="1" applyFill="1" applyBorder="1" applyAlignment="1">
      <alignment horizontal="center" vertical="center" wrapText="1"/>
    </xf>
    <xf numFmtId="0" fontId="6" fillId="0" borderId="37" xfId="0" applyFont="1" applyBorder="1"/>
    <xf numFmtId="3" fontId="40" fillId="14" borderId="20" xfId="0" applyNumberFormat="1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18" borderId="7" xfId="0" applyFont="1" applyFill="1" applyBorder="1" applyAlignment="1">
      <alignment horizontal="center"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0" fontId="2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/>
    <xf numFmtId="0" fontId="1" fillId="19" borderId="1" xfId="0" quotePrefix="1" applyFont="1" applyFill="1" applyBorder="1"/>
    <xf numFmtId="3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vertical="center"/>
    </xf>
    <xf numFmtId="3" fontId="1" fillId="20" borderId="1" xfId="0" applyNumberFormat="1" applyFont="1" applyFill="1" applyBorder="1" applyAlignment="1">
      <alignment vertical="center"/>
    </xf>
    <xf numFmtId="4" fontId="1" fillId="10" borderId="7" xfId="0" applyNumberFormat="1" applyFont="1" applyFill="1" applyBorder="1" applyAlignment="1">
      <alignment horizontal="center"/>
    </xf>
    <xf numFmtId="4" fontId="5" fillId="2" borderId="1" xfId="0" applyNumberFormat="1" applyFont="1" applyFill="1" applyBorder="1" applyAlignment="1">
      <alignment horizontal="center"/>
    </xf>
    <xf numFmtId="4" fontId="3" fillId="10" borderId="7" xfId="0" applyNumberFormat="1" applyFont="1" applyFill="1" applyBorder="1" applyAlignment="1">
      <alignment vertical="center"/>
    </xf>
    <xf numFmtId="3" fontId="1" fillId="2" borderId="7" xfId="0" applyNumberFormat="1" applyFont="1" applyFill="1" applyBorder="1"/>
    <xf numFmtId="3" fontId="1" fillId="2" borderId="7" xfId="0" applyNumberFormat="1" applyFont="1" applyFill="1" applyBorder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11" borderId="1" xfId="0" applyNumberFormat="1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/>
  </cellXfs>
  <cellStyles count="1">
    <cellStyle name="Normal" xfId="0" builtinId="0"/>
  </cellStyles>
  <dxfs count="20">
    <dxf>
      <font>
        <color rgb="FF000000"/>
      </font>
      <fill>
        <patternFill patternType="solid">
          <fgColor rgb="FFD9EAD3"/>
          <bgColor rgb="FFD9EAD3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solid">
          <fgColor rgb="FFCCFFCC"/>
          <bgColor rgb="FFCCFFCC"/>
        </patternFill>
      </fill>
    </dxf>
    <dxf>
      <font>
        <color rgb="FF000000"/>
      </font>
      <fill>
        <patternFill patternType="solid">
          <fgColor rgb="FFE69138"/>
          <bgColor rgb="FFE69138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7CBA-27B1-4578-92A7-D0AEB97FB27B}">
  <sheetPr>
    <tabColor rgb="FF00FFFF"/>
    <outlinePr summaryBelow="0" summaryRight="0"/>
  </sheetPr>
  <dimension ref="A1:AT74"/>
  <sheetViews>
    <sheetView tabSelected="1" workbookViewId="0">
      <pane xSplit="28" ySplit="3" topLeftCell="AC4" activePane="bottomRight" state="frozen"/>
      <selection pane="topRight" activeCell="AC1" sqref="AC1"/>
      <selection pane="bottomLeft" activeCell="A4" sqref="A4"/>
      <selection pane="bottomRight" activeCell="W18" sqref="W18"/>
    </sheetView>
  </sheetViews>
  <sheetFormatPr defaultColWidth="12.6640625" defaultRowHeight="15.75" customHeight="1" x14ac:dyDescent="0.25"/>
  <cols>
    <col min="1" max="1" width="9.109375" customWidth="1"/>
    <col min="2" max="2" width="8.21875" customWidth="1"/>
    <col min="3" max="3" width="7.33203125" customWidth="1"/>
    <col min="4" max="4" width="6.77734375" customWidth="1"/>
    <col min="5" max="5" width="4.44140625" customWidth="1"/>
    <col min="6" max="6" width="6.21875" customWidth="1"/>
    <col min="7" max="7" width="5.88671875" hidden="1" customWidth="1"/>
    <col min="8" max="8" width="5.88671875" customWidth="1"/>
    <col min="9" max="9" width="7.33203125" customWidth="1"/>
    <col min="10" max="10" width="6.21875" customWidth="1"/>
    <col min="11" max="11" width="7.109375" customWidth="1"/>
    <col min="12" max="15" width="5.21875" customWidth="1"/>
    <col min="16" max="16" width="5.109375" customWidth="1"/>
    <col min="17" max="17" width="6" bestFit="1" customWidth="1"/>
    <col min="18" max="18" width="8.33203125" bestFit="1" customWidth="1"/>
    <col min="19" max="19" width="5.88671875" bestFit="1" customWidth="1"/>
    <col min="20" max="20" width="7.88671875" bestFit="1" customWidth="1"/>
    <col min="21" max="21" width="9.77734375" bestFit="1" customWidth="1"/>
    <col min="22" max="22" width="5.33203125" bestFit="1" customWidth="1"/>
    <col min="23" max="23" width="8.21875" bestFit="1" customWidth="1"/>
    <col min="24" max="24" width="9.33203125" bestFit="1" customWidth="1"/>
    <col min="25" max="25" width="8.21875" bestFit="1" customWidth="1"/>
    <col min="26" max="26" width="9.33203125" bestFit="1" customWidth="1"/>
    <col min="27" max="27" width="7.6640625" customWidth="1"/>
    <col min="28" max="28" width="8.77734375" customWidth="1"/>
    <col min="29" max="29" width="17.6640625" customWidth="1"/>
    <col min="30" max="30" width="45.44140625" customWidth="1"/>
    <col min="31" max="31" width="7.109375" customWidth="1"/>
    <col min="32" max="32" width="16.77734375" customWidth="1"/>
    <col min="33" max="33" width="28.109375" customWidth="1"/>
    <col min="34" max="34" width="9.44140625" customWidth="1"/>
    <col min="35" max="35" width="15.6640625" customWidth="1"/>
    <col min="36" max="36" width="28.6640625" customWidth="1"/>
    <col min="37" max="37" width="10.44140625" customWidth="1"/>
    <col min="38" max="38" width="7.77734375" customWidth="1"/>
    <col min="39" max="39" width="8.33203125" customWidth="1"/>
    <col min="40" max="40" width="8.44140625" customWidth="1"/>
    <col min="41" max="41" width="8.33203125" customWidth="1"/>
    <col min="42" max="42" width="5.44140625" customWidth="1"/>
    <col min="43" max="43" width="7.33203125" customWidth="1"/>
    <col min="44" max="44" width="12.21875" hidden="1" customWidth="1"/>
    <col min="45" max="45" width="23.88671875" customWidth="1"/>
    <col min="46" max="46" width="10.88671875" customWidth="1"/>
  </cols>
  <sheetData>
    <row r="1" spans="1:46" ht="23.25" customHeight="1" x14ac:dyDescent="0.45">
      <c r="A1" s="226"/>
      <c r="B1" s="268" t="s">
        <v>167</v>
      </c>
      <c r="C1" s="267"/>
      <c r="D1" s="267"/>
      <c r="E1" s="266"/>
      <c r="F1" s="263"/>
      <c r="G1" s="263"/>
      <c r="H1" s="265" t="s">
        <v>166</v>
      </c>
      <c r="I1" s="264" t="s">
        <v>165</v>
      </c>
      <c r="J1" s="263"/>
      <c r="K1" s="97"/>
      <c r="L1" s="97"/>
      <c r="M1" s="97"/>
      <c r="N1" s="119"/>
      <c r="O1" s="119"/>
      <c r="P1" s="119"/>
      <c r="Q1" s="262"/>
      <c r="R1" s="262"/>
      <c r="S1" s="261"/>
      <c r="T1" s="261"/>
      <c r="U1" s="260"/>
      <c r="V1" s="259"/>
      <c r="W1" s="258" t="s">
        <v>164</v>
      </c>
      <c r="X1" s="258"/>
      <c r="Y1" s="258"/>
      <c r="Z1" s="258"/>
      <c r="AA1" s="258"/>
      <c r="AB1" s="258"/>
      <c r="AC1" s="256"/>
      <c r="AD1" s="256"/>
      <c r="AE1" s="257" t="s">
        <v>163</v>
      </c>
      <c r="AF1" s="256"/>
      <c r="AG1" s="256"/>
      <c r="AH1" s="254"/>
      <c r="AI1" s="255"/>
      <c r="AJ1" s="254"/>
      <c r="AK1" s="253" t="s">
        <v>162</v>
      </c>
      <c r="AL1" s="97"/>
      <c r="AM1" s="252" t="s">
        <v>161</v>
      </c>
      <c r="AN1" s="252"/>
      <c r="AO1" s="251"/>
      <c r="AP1" s="250" t="s">
        <v>160</v>
      </c>
      <c r="AQ1" s="250"/>
      <c r="AR1" s="249"/>
      <c r="AS1" s="1"/>
      <c r="AT1" s="1"/>
    </row>
    <row r="2" spans="1:46" ht="61.5" customHeight="1" x14ac:dyDescent="0.55000000000000004">
      <c r="A2" s="226"/>
      <c r="B2" s="248" t="s">
        <v>159</v>
      </c>
      <c r="C2" s="248" t="s">
        <v>158</v>
      </c>
      <c r="D2" s="248" t="s">
        <v>157</v>
      </c>
      <c r="E2" s="247" t="s">
        <v>156</v>
      </c>
      <c r="F2" s="246" t="s">
        <v>155</v>
      </c>
      <c r="G2" s="246" t="s">
        <v>154</v>
      </c>
      <c r="H2" s="246" t="s">
        <v>153</v>
      </c>
      <c r="I2" s="246" t="s">
        <v>152</v>
      </c>
      <c r="J2" s="245" t="s">
        <v>151</v>
      </c>
      <c r="K2" s="145" t="s">
        <v>150</v>
      </c>
      <c r="L2" s="143"/>
      <c r="M2" s="244" t="s">
        <v>149</v>
      </c>
      <c r="N2" s="243"/>
      <c r="O2" s="244" t="s">
        <v>148</v>
      </c>
      <c r="P2" s="243"/>
      <c r="Q2" s="242" t="s">
        <v>147</v>
      </c>
      <c r="R2" s="234" t="s">
        <v>66</v>
      </c>
      <c r="S2" s="241" t="s">
        <v>65</v>
      </c>
      <c r="T2" s="240" t="s">
        <v>64</v>
      </c>
      <c r="U2" s="239" t="s">
        <v>146</v>
      </c>
      <c r="V2" s="238" t="s">
        <v>107</v>
      </c>
      <c r="W2" s="237" t="s">
        <v>145</v>
      </c>
      <c r="X2" s="236"/>
      <c r="Y2" s="237" t="s">
        <v>144</v>
      </c>
      <c r="Z2" s="236"/>
      <c r="AA2" s="237" t="s">
        <v>143</v>
      </c>
      <c r="AB2" s="236"/>
      <c r="AC2" s="235" t="s">
        <v>142</v>
      </c>
      <c r="AD2" s="234" t="s">
        <v>140</v>
      </c>
      <c r="AE2" s="214" t="s">
        <v>141</v>
      </c>
      <c r="AF2" s="133"/>
      <c r="AG2" s="233" t="s">
        <v>140</v>
      </c>
      <c r="AH2" s="133" t="s">
        <v>139</v>
      </c>
      <c r="AI2" s="133" t="s">
        <v>138</v>
      </c>
      <c r="AJ2" s="232" t="s">
        <v>137</v>
      </c>
      <c r="AK2" s="231" t="s">
        <v>136</v>
      </c>
      <c r="AL2" s="230" t="s">
        <v>135</v>
      </c>
      <c r="AM2" s="129" t="s">
        <v>59</v>
      </c>
      <c r="AN2" s="229" t="s">
        <v>58</v>
      </c>
      <c r="AO2" s="228" t="s">
        <v>134</v>
      </c>
      <c r="AP2" s="127" t="s">
        <v>133</v>
      </c>
      <c r="AQ2" s="127" t="s">
        <v>132</v>
      </c>
      <c r="AR2" s="227"/>
      <c r="AS2" s="10"/>
      <c r="AT2" s="10"/>
    </row>
    <row r="3" spans="1:46" ht="22.2" thickBot="1" x14ac:dyDescent="0.65">
      <c r="A3" s="226"/>
      <c r="B3" s="216"/>
      <c r="C3" s="216"/>
      <c r="D3" s="216"/>
      <c r="E3" s="216"/>
      <c r="F3" s="216"/>
      <c r="G3" s="216"/>
      <c r="H3" s="216"/>
      <c r="I3" s="216"/>
      <c r="J3" s="210"/>
      <c r="K3" s="225" t="s">
        <v>131</v>
      </c>
      <c r="L3" s="224"/>
      <c r="M3" s="222">
        <v>0.54166666666666663</v>
      </c>
      <c r="N3" s="223"/>
      <c r="O3" s="222">
        <v>0.72916666666666663</v>
      </c>
      <c r="P3" s="221"/>
      <c r="Q3" s="220"/>
      <c r="R3" s="215"/>
      <c r="S3" s="219"/>
      <c r="T3" s="218"/>
      <c r="U3" s="217"/>
      <c r="V3" s="216"/>
      <c r="W3" s="215"/>
      <c r="X3" s="214" t="s">
        <v>40</v>
      </c>
      <c r="Y3" s="215"/>
      <c r="Z3" s="214" t="s">
        <v>40</v>
      </c>
      <c r="AA3" s="215"/>
      <c r="AB3" s="214" t="s">
        <v>40</v>
      </c>
      <c r="AC3" s="213"/>
      <c r="AD3" s="212"/>
      <c r="AE3" s="213"/>
      <c r="AF3" s="211"/>
      <c r="AG3" s="212"/>
      <c r="AH3" s="211"/>
      <c r="AI3" s="211"/>
      <c r="AJ3" s="210"/>
      <c r="AK3" s="210"/>
      <c r="AL3" s="208"/>
      <c r="AM3" s="95"/>
      <c r="AN3" s="209"/>
      <c r="AO3" s="208"/>
      <c r="AP3" s="92"/>
      <c r="AQ3" s="92"/>
      <c r="AR3" s="60"/>
      <c r="AS3" s="9"/>
      <c r="AT3" s="9"/>
    </row>
    <row r="4" spans="1:46" ht="18" customHeight="1" thickTop="1" x14ac:dyDescent="0.25">
      <c r="A4" s="180"/>
      <c r="B4" s="207" t="s">
        <v>130</v>
      </c>
      <c r="C4" s="206">
        <v>61</v>
      </c>
      <c r="D4" s="205">
        <v>1</v>
      </c>
      <c r="E4" s="204">
        <f>C4*D4</f>
        <v>61</v>
      </c>
      <c r="F4" s="203">
        <f>E4*10.75</f>
        <v>655.75</v>
      </c>
      <c r="G4" s="203">
        <f>E4*7.75</f>
        <v>472.75</v>
      </c>
      <c r="H4" s="203">
        <f>E4*3.75</f>
        <v>228.75</v>
      </c>
      <c r="I4" s="203">
        <f>E4*4</f>
        <v>244</v>
      </c>
      <c r="J4" s="202">
        <f>E4*3</f>
        <v>183</v>
      </c>
      <c r="K4" s="201">
        <f>90+90</f>
        <v>180</v>
      </c>
      <c r="L4" s="200">
        <v>90</v>
      </c>
      <c r="M4" s="199">
        <v>180</v>
      </c>
      <c r="N4" s="198"/>
      <c r="O4" s="199">
        <v>180</v>
      </c>
      <c r="P4" s="198"/>
      <c r="Q4" s="197">
        <f>K4-H4</f>
        <v>-48.75</v>
      </c>
      <c r="R4" s="187">
        <v>1038</v>
      </c>
      <c r="S4" s="187">
        <f>AQ4</f>
        <v>453.84</v>
      </c>
      <c r="T4" s="187">
        <f>K4+M4+O4</f>
        <v>540</v>
      </c>
      <c r="U4" s="105">
        <f>(AL4+AM4-L4-M4-N4-O4-P4)/E4</f>
        <v>-1.4754098360655739</v>
      </c>
      <c r="V4" s="196"/>
      <c r="W4" s="195">
        <f>(R4-S4+K4+L4+AN4)/E4</f>
        <v>14.002622950819674</v>
      </c>
      <c r="X4" s="101" t="str">
        <f>IF(W4="","",IF(ROUND(W4,0)&lt;10,"ต้องเร่งเติม",IF(ROUND(W4,0)&lt;=16,"ปกติ","ไม่ต้องทำเพิ่ม")))</f>
        <v>ปกติ</v>
      </c>
      <c r="Y4" s="195">
        <f>(R4-S4-H4+K4+L4+M4+N4+AN4)/E4</f>
        <v>13.203442622950821</v>
      </c>
      <c r="Z4" s="101" t="str">
        <f>IF(Y4="","",IF(ROUND(Y4,0)&lt;10,"ต้องเร่งเติม",IF(ROUND(Y4,0)&lt;=16,"ปกติ","ไม่ต้องทำเพิ่ม")))</f>
        <v>ปกติ</v>
      </c>
      <c r="AA4" s="194">
        <f>(R4-S4-H4-I4+K4+L4+M4+N4+O4+P4+AN4)/E4</f>
        <v>12.154262295081969</v>
      </c>
      <c r="AB4" s="101" t="str">
        <f>IF(AA4="","",IF(ROUND(AA4,0)&lt;10,"ต้องเร่งเติม",IF(ROUND(AA4,0)&lt;=16,"ปกติ","ไม่ต้องทำพิ่ม")))</f>
        <v>ปกติ</v>
      </c>
      <c r="AC4" s="192"/>
      <c r="AD4" s="98" t="s">
        <v>129</v>
      </c>
      <c r="AE4" s="193">
        <f>(K4+M4)-(H4+I4)</f>
        <v>-112.75</v>
      </c>
      <c r="AF4" s="192"/>
      <c r="AG4" s="98" t="s">
        <v>128</v>
      </c>
      <c r="AH4" s="192">
        <f>(K4+M4+O4)-(H4+I4+J4)</f>
        <v>-115.75</v>
      </c>
      <c r="AI4" s="192"/>
      <c r="AJ4" s="98" t="s">
        <v>127</v>
      </c>
      <c r="AK4" s="97" t="s">
        <v>126</v>
      </c>
      <c r="AL4" s="171">
        <v>360</v>
      </c>
      <c r="AM4" s="95"/>
      <c r="AN4" s="94"/>
      <c r="AO4" s="169">
        <v>0.96</v>
      </c>
      <c r="AP4" s="92">
        <f>(E4*AO4)*10.75</f>
        <v>629.52</v>
      </c>
      <c r="AQ4" s="92">
        <f>(E4*AO4)*7.75</f>
        <v>453.84</v>
      </c>
      <c r="AR4" s="92"/>
      <c r="AS4" s="9"/>
      <c r="AT4" s="9"/>
    </row>
    <row r="5" spans="1:46" ht="18" customHeight="1" x14ac:dyDescent="0.25">
      <c r="A5" s="182"/>
      <c r="B5" s="191" t="s">
        <v>125</v>
      </c>
      <c r="C5" s="119">
        <v>61</v>
      </c>
      <c r="D5" s="179">
        <v>0.95</v>
      </c>
      <c r="E5" s="117">
        <f>C5*D5</f>
        <v>57.949999999999996</v>
      </c>
      <c r="F5" s="116">
        <f>E5*10.75</f>
        <v>622.96249999999998</v>
      </c>
      <c r="G5" s="116">
        <f>E5*7.75</f>
        <v>449.11249999999995</v>
      </c>
      <c r="H5" s="116">
        <f>E5*3.75</f>
        <v>217.31249999999997</v>
      </c>
      <c r="I5" s="116">
        <f>E5*4</f>
        <v>231.79999999999998</v>
      </c>
      <c r="J5" s="115">
        <f>E5*3</f>
        <v>173.85</v>
      </c>
      <c r="K5" s="114">
        <v>180</v>
      </c>
      <c r="L5" s="113"/>
      <c r="M5" s="112">
        <v>180</v>
      </c>
      <c r="N5" s="111">
        <v>180</v>
      </c>
      <c r="O5" s="112">
        <v>180</v>
      </c>
      <c r="P5" s="111"/>
      <c r="Q5" s="188">
        <f>K5-H5</f>
        <v>-37.312499999999972</v>
      </c>
      <c r="R5" s="106">
        <v>998</v>
      </c>
      <c r="S5" s="187">
        <f>AQ5</f>
        <v>386.23674999999997</v>
      </c>
      <c r="T5" s="106">
        <f>K5+M5+O5</f>
        <v>540</v>
      </c>
      <c r="U5" s="105">
        <f>(AL5+AM5-L5-M5-N5-O5-P5)/E5</f>
        <v>-3.9689387402933565</v>
      </c>
      <c r="V5" s="172"/>
      <c r="W5" s="103">
        <f>(R5-S5+K5+L5+AN5)/E5</f>
        <v>13.662868852459017</v>
      </c>
      <c r="X5" s="101" t="str">
        <f>IF(W5="","",IF(ROUND(W5,0)&lt;10,"ต้องเร่งเติม",IF(ROUND(W5,0)&lt;=16,"ปกติ","ไม่ต้องทำเพิ่ม")))</f>
        <v>ปกติ</v>
      </c>
      <c r="Y5" s="103">
        <f>(R5-S5-H5+K5+L5+M5+N5+AN5)/E5</f>
        <v>16.125120793787747</v>
      </c>
      <c r="Z5" s="101" t="str">
        <f>IF(Y5="","",IF(ROUND(Y5,0)&lt;10,"ต้องเร่งเติม",IF(ROUND(Y5,0)&lt;=16,"ปกติ","ไม่ต้องทำเพิ่ม")))</f>
        <v>ปกติ</v>
      </c>
      <c r="AA5" s="102">
        <f>(R5-S5-H5-I5+K5+L5+M5+N5+O5+P5+AN5)/E5</f>
        <v>15.231246764452115</v>
      </c>
      <c r="AB5" s="101" t="str">
        <f>IF(AA5="","",IF(ROUND(AA5,0)&lt;10,"ต้องเร่งเติม",IF(ROUND(AA5,0)&lt;=16,"ปกติ","ไม่ต้องทำพิ่ม")))</f>
        <v>ปกติ</v>
      </c>
      <c r="AC5" s="99"/>
      <c r="AD5" s="98" t="s">
        <v>124</v>
      </c>
      <c r="AE5" s="100">
        <f>(K5+M5)-(H5+I5)</f>
        <v>-89.112499999999955</v>
      </c>
      <c r="AF5" s="99"/>
      <c r="AG5" s="98" t="s">
        <v>123</v>
      </c>
      <c r="AH5" s="99">
        <f>(K5+M5+O5)-(H5+I5+J5)</f>
        <v>-82.962499999999977</v>
      </c>
      <c r="AI5" s="99"/>
      <c r="AJ5" s="98" t="s">
        <v>122</v>
      </c>
      <c r="AK5" s="97" t="s">
        <v>54</v>
      </c>
      <c r="AL5" s="171">
        <v>310</v>
      </c>
      <c r="AM5" s="95"/>
      <c r="AN5" s="94"/>
      <c r="AO5" s="169">
        <v>0.86</v>
      </c>
      <c r="AP5" s="92">
        <f>(E5*AO5)*10.75</f>
        <v>535.74775</v>
      </c>
      <c r="AQ5" s="92">
        <f>(E5*AO5)*7.75</f>
        <v>386.23674999999997</v>
      </c>
      <c r="AR5" s="92"/>
      <c r="AS5" s="9"/>
      <c r="AT5" s="9"/>
    </row>
    <row r="6" spans="1:46" ht="18" customHeight="1" x14ac:dyDescent="0.25">
      <c r="A6" s="182"/>
      <c r="B6" s="191" t="s">
        <v>121</v>
      </c>
      <c r="C6" s="119">
        <v>53</v>
      </c>
      <c r="D6" s="179">
        <v>0.9</v>
      </c>
      <c r="E6" s="117">
        <f>C6*D6</f>
        <v>47.7</v>
      </c>
      <c r="F6" s="116">
        <f>E6*10.75</f>
        <v>512.77499999999998</v>
      </c>
      <c r="G6" s="116">
        <f>E6*7.75</f>
        <v>369.67500000000001</v>
      </c>
      <c r="H6" s="116">
        <f>E6*3.75</f>
        <v>178.875</v>
      </c>
      <c r="I6" s="116">
        <f>E6*4</f>
        <v>190.8</v>
      </c>
      <c r="J6" s="115">
        <f>E6*3</f>
        <v>143.10000000000002</v>
      </c>
      <c r="K6" s="114">
        <v>66</v>
      </c>
      <c r="L6" s="113"/>
      <c r="M6" s="112">
        <v>120</v>
      </c>
      <c r="N6" s="111"/>
      <c r="O6" s="110">
        <v>200</v>
      </c>
      <c r="P6" s="109"/>
      <c r="Q6" s="108">
        <f>K6-H6</f>
        <v>-112.875</v>
      </c>
      <c r="R6" s="106">
        <v>745</v>
      </c>
      <c r="S6" s="187">
        <f>AQ6</f>
        <v>280.95300000000003</v>
      </c>
      <c r="T6" s="106">
        <f>K6+M6+O6</f>
        <v>386</v>
      </c>
      <c r="U6" s="105">
        <f>(AL6+AM6-L6-M6-N6-O6-P6)/E6</f>
        <v>0.20964360587002095</v>
      </c>
      <c r="V6" s="121"/>
      <c r="W6" s="103">
        <f>(R6-S6+K6+L6+AN6)/E6</f>
        <v>11.1120964360587</v>
      </c>
      <c r="X6" s="101" t="str">
        <f>IF(W6="","",IF(ROUND(W6,0)&lt;10,"ต้องเร่งเติม",IF(ROUND(W6,0)&lt;=16,"ปกติ","ไม่ต้องทำเพิ่ม")))</f>
        <v>ปกติ</v>
      </c>
      <c r="Y6" s="103">
        <f>(R6-S6-H6+K6+L6+M6+N6+AN6)/E6</f>
        <v>9.8778197064989506</v>
      </c>
      <c r="Z6" s="101" t="str">
        <f>IF(Y6="","",IF(ROUND(Y6,0)&lt;10,"ต้องเร่งเติม",IF(ROUND(Y6,0)&lt;=16,"ปกติ","ไม่ต้องทำเพิ่ม")))</f>
        <v>ปกติ</v>
      </c>
      <c r="AA6" s="102">
        <f>(R6-S6-H6-I6+K6+L6+M6+N6+O6+P6+AN6)/E6</f>
        <v>10.07069182389937</v>
      </c>
      <c r="AB6" s="101" t="str">
        <f>IF(AA6="","",IF(ROUND(AA6,0)&lt;10,"ต้องเร่งเติม",IF(ROUND(AA6,0)&lt;=16,"ปกติ","ไม่ต้องทำพิ่ม")))</f>
        <v>ปกติ</v>
      </c>
      <c r="AC6" s="190"/>
      <c r="AD6" s="98" t="s">
        <v>120</v>
      </c>
      <c r="AE6" s="100">
        <f>(K6+M6)-(H6+I6)</f>
        <v>-183.67500000000001</v>
      </c>
      <c r="AF6" s="99"/>
      <c r="AG6" s="98" t="s">
        <v>119</v>
      </c>
      <c r="AH6" s="99">
        <f>(K6+M6+O6)-(H6+I6+J6)</f>
        <v>-126.77500000000009</v>
      </c>
      <c r="AI6" s="99"/>
      <c r="AJ6" s="98" t="s">
        <v>118</v>
      </c>
      <c r="AK6" s="97" t="s">
        <v>117</v>
      </c>
      <c r="AL6" s="171">
        <v>330</v>
      </c>
      <c r="AM6" s="95"/>
      <c r="AN6" s="94"/>
      <c r="AO6" s="169">
        <v>0.76</v>
      </c>
      <c r="AP6" s="92">
        <f>(E6*AO6)*10.75</f>
        <v>389.709</v>
      </c>
      <c r="AQ6" s="92">
        <f>(E6*AO6)*7.75</f>
        <v>280.95300000000003</v>
      </c>
      <c r="AR6" s="92"/>
      <c r="AS6" s="9"/>
      <c r="AT6" s="9"/>
    </row>
    <row r="7" spans="1:46" ht="18" customHeight="1" x14ac:dyDescent="0.25">
      <c r="A7" s="180"/>
      <c r="B7" s="191" t="s">
        <v>116</v>
      </c>
      <c r="C7" s="119">
        <v>58</v>
      </c>
      <c r="D7" s="175">
        <v>1</v>
      </c>
      <c r="E7" s="117">
        <f>C7*D7</f>
        <v>58</v>
      </c>
      <c r="F7" s="116">
        <f>E7*10.75</f>
        <v>623.5</v>
      </c>
      <c r="G7" s="116">
        <f>E7*7.75</f>
        <v>449.5</v>
      </c>
      <c r="H7" s="116">
        <f>E7*3.75</f>
        <v>217.5</v>
      </c>
      <c r="I7" s="116">
        <f>E7*4</f>
        <v>232</v>
      </c>
      <c r="J7" s="115">
        <f>E7*3</f>
        <v>174</v>
      </c>
      <c r="K7" s="114">
        <v>220</v>
      </c>
      <c r="L7" s="113"/>
      <c r="M7" s="112">
        <v>220</v>
      </c>
      <c r="N7" s="111"/>
      <c r="O7" s="112"/>
      <c r="P7" s="111"/>
      <c r="Q7" s="188">
        <f>K7-H7</f>
        <v>2.5</v>
      </c>
      <c r="R7" s="106">
        <v>1151</v>
      </c>
      <c r="S7" s="187">
        <f>AQ7</f>
        <v>431.52</v>
      </c>
      <c r="T7" s="106">
        <f>K7+M7+O7</f>
        <v>440</v>
      </c>
      <c r="U7" s="105">
        <f>(AL7+AM7-L7-M7-N7-O7-P7)/E7</f>
        <v>6.8965517241379306</v>
      </c>
      <c r="V7" s="121"/>
      <c r="W7" s="103">
        <f>(R7-S7+K7+L7+AN7)/E7</f>
        <v>16.19793103448276</v>
      </c>
      <c r="X7" s="101" t="str">
        <f>IF(W7="","",IF(ROUND(W7,0)&lt;10,"ต้องเร่งเติม",IF(ROUND(W7,0)&lt;=16,"ปกติ","ไม่ต้องทำเพิ่ม")))</f>
        <v>ปกติ</v>
      </c>
      <c r="Y7" s="103">
        <f>(R7-S7-H7+K7+L7+M7+N7+AN7)/E7</f>
        <v>16.241034482758621</v>
      </c>
      <c r="Z7" s="101" t="str">
        <f>IF(Y7="","",IF(ROUND(Y7,0)&lt;10,"ต้องเร่งเติม",IF(ROUND(Y7,0)&lt;=16,"ปกติ","ไม่ต้องทำเพิ่ม")))</f>
        <v>ปกติ</v>
      </c>
      <c r="AA7" s="102">
        <f>(R7-S7-H7-I7+K7+L7+M7+N7+O7+P7+AN7)/E7</f>
        <v>12.241034482758621</v>
      </c>
      <c r="AB7" s="101" t="str">
        <f>IF(AA7="","",IF(ROUND(AA7,0)&lt;10,"ต้องเร่งเติม",IF(ROUND(AA7,0)&lt;=16,"ปกติ","ไม่ต้องทำพิ่ม")))</f>
        <v>ปกติ</v>
      </c>
      <c r="AC7" s="190"/>
      <c r="AD7" s="98" t="s">
        <v>115</v>
      </c>
      <c r="AE7" s="100">
        <f>(K7+M7)-(H7+I7)</f>
        <v>-9.5</v>
      </c>
      <c r="AF7" s="99"/>
      <c r="AG7" s="98" t="s">
        <v>114</v>
      </c>
      <c r="AH7" s="99">
        <f>(K7+M7+O7)-(H7+I7+J7)</f>
        <v>-183.5</v>
      </c>
      <c r="AI7" s="99" t="s">
        <v>54</v>
      </c>
      <c r="AJ7" s="98" t="s">
        <v>113</v>
      </c>
      <c r="AK7" s="97" t="s">
        <v>112</v>
      </c>
      <c r="AL7" s="189">
        <v>620</v>
      </c>
      <c r="AM7" s="95"/>
      <c r="AN7" s="94"/>
      <c r="AO7" s="169">
        <v>0.96</v>
      </c>
      <c r="AP7" s="92">
        <f>(E7*AO7)*10.75</f>
        <v>598.55999999999995</v>
      </c>
      <c r="AQ7" s="92">
        <f>(E7*AO7)*7.75</f>
        <v>431.52</v>
      </c>
      <c r="AR7" s="92"/>
      <c r="AS7" s="178"/>
      <c r="AT7" s="9"/>
    </row>
    <row r="8" spans="1:46" ht="18" customHeight="1" x14ac:dyDescent="0.25">
      <c r="A8" s="180"/>
      <c r="B8" s="120" t="s">
        <v>111</v>
      </c>
      <c r="C8" s="119">
        <v>54</v>
      </c>
      <c r="D8" s="179">
        <v>0.88</v>
      </c>
      <c r="E8" s="117">
        <f>C8*D8</f>
        <v>47.52</v>
      </c>
      <c r="F8" s="116">
        <f>E8*10.75</f>
        <v>510.84000000000003</v>
      </c>
      <c r="G8" s="116">
        <f>E8*7.75</f>
        <v>368.28000000000003</v>
      </c>
      <c r="H8" s="116">
        <f>E8*3.75</f>
        <v>178.20000000000002</v>
      </c>
      <c r="I8" s="116">
        <f>E8*4</f>
        <v>190.08</v>
      </c>
      <c r="J8" s="115">
        <f>E8*3</f>
        <v>142.56</v>
      </c>
      <c r="K8" s="114">
        <f>40+160</f>
        <v>200</v>
      </c>
      <c r="L8" s="113"/>
      <c r="M8" s="112">
        <f>120</f>
        <v>120</v>
      </c>
      <c r="N8" s="111">
        <v>24</v>
      </c>
      <c r="O8" s="110">
        <f>84+120</f>
        <v>204</v>
      </c>
      <c r="P8" s="109"/>
      <c r="Q8" s="188">
        <f>K8-H8</f>
        <v>21.799999999999983</v>
      </c>
      <c r="R8" s="106">
        <v>565</v>
      </c>
      <c r="S8" s="187">
        <f>AQ8</f>
        <v>276.20999999999998</v>
      </c>
      <c r="T8" s="106">
        <f>K8+M8+O8</f>
        <v>524</v>
      </c>
      <c r="U8" s="105">
        <f>(AL8+AM8-L8-M8-N8-O8-P8)/E8</f>
        <v>5.8501683501683495</v>
      </c>
      <c r="V8" s="104"/>
      <c r="W8" s="103">
        <f>(R8-S8+K8+L8+AN8)/E8</f>
        <v>10.285984848484848</v>
      </c>
      <c r="X8" s="101" t="str">
        <f>IF(W8="","",IF(ROUND(W8,0)&lt;10,"ต้องเร่งเติม",IF(ROUND(W8,0)&lt;=16,"ปกติ","ไม่ต้องทำเพิ่ม")))</f>
        <v>ปกติ</v>
      </c>
      <c r="Y8" s="103">
        <f>(R8-S8-H8+K8+L8+M8+N8+AN8)/E8</f>
        <v>9.5662878787878789</v>
      </c>
      <c r="Z8" s="101" t="str">
        <f>IF(Y8="","",IF(ROUND(Y8,0)&lt;10,"ต้องเร่งเติม",IF(ROUND(Y8,0)&lt;=16,"ปกติ","ไม่ต้องทำเพิ่ม")))</f>
        <v>ปกติ</v>
      </c>
      <c r="AA8" s="102">
        <f>(R8-S8-H8-I8+K8+L8+M8+N8+O8+P8+AN8)/E8</f>
        <v>9.8592171717171713</v>
      </c>
      <c r="AB8" s="101" t="str">
        <f>IF(AA8="","",IF(ROUND(AA8,0)&lt;10,"ต้องเร่งเติม",IF(ROUND(AA8,0)&lt;=16,"ปกติ","ไม่ต้องทำพิ่ม")))</f>
        <v>ปกติ</v>
      </c>
      <c r="AC8" s="99"/>
      <c r="AD8" s="98" t="s">
        <v>110</v>
      </c>
      <c r="AE8" s="100">
        <f>(K8+M8)-(H8+I8)</f>
        <v>-48.28000000000003</v>
      </c>
      <c r="AF8" s="99"/>
      <c r="AG8" s="98" t="s">
        <v>109</v>
      </c>
      <c r="AH8" s="99">
        <f>(K8+M8+O8)-(H8+I8+J8)</f>
        <v>13.159999999999968</v>
      </c>
      <c r="AI8" s="99"/>
      <c r="AJ8" s="98" t="s">
        <v>108</v>
      </c>
      <c r="AK8" s="97" t="s">
        <v>107</v>
      </c>
      <c r="AL8" s="171">
        <v>626</v>
      </c>
      <c r="AM8" s="95"/>
      <c r="AN8" s="94"/>
      <c r="AO8" s="169">
        <v>0.75</v>
      </c>
      <c r="AP8" s="92">
        <f>(E8*AO8)*10.75</f>
        <v>383.13</v>
      </c>
      <c r="AQ8" s="92">
        <f>(E8*AO8)*7.75</f>
        <v>276.20999999999998</v>
      </c>
      <c r="AR8" s="92"/>
      <c r="AS8" s="9"/>
      <c r="AT8" s="9"/>
    </row>
    <row r="9" spans="1:46" ht="18" customHeight="1" x14ac:dyDescent="0.25">
      <c r="A9" s="180"/>
      <c r="B9" s="120" t="s">
        <v>106</v>
      </c>
      <c r="C9" s="119">
        <v>51</v>
      </c>
      <c r="D9" s="175">
        <v>1.03</v>
      </c>
      <c r="E9" s="117">
        <f>C9*D9</f>
        <v>52.53</v>
      </c>
      <c r="F9" s="116">
        <f>E9*10.75</f>
        <v>564.69749999999999</v>
      </c>
      <c r="G9" s="116">
        <f>E9*7.75</f>
        <v>407.10750000000002</v>
      </c>
      <c r="H9" s="116">
        <f>E9*3.75</f>
        <v>196.98750000000001</v>
      </c>
      <c r="I9" s="116">
        <f>E9*4</f>
        <v>210.12</v>
      </c>
      <c r="J9" s="115">
        <f>E9*3</f>
        <v>157.59</v>
      </c>
      <c r="K9" s="114">
        <f>60+60</f>
        <v>120</v>
      </c>
      <c r="L9" s="113">
        <v>120</v>
      </c>
      <c r="M9" s="112">
        <v>144</v>
      </c>
      <c r="N9" s="111"/>
      <c r="O9" s="112">
        <v>120</v>
      </c>
      <c r="P9" s="111"/>
      <c r="Q9" s="108">
        <f>K9-H9</f>
        <v>-76.987500000000011</v>
      </c>
      <c r="R9" s="106">
        <v>876</v>
      </c>
      <c r="S9" s="187">
        <f>AQ9</f>
        <v>398.96535</v>
      </c>
      <c r="T9" s="106">
        <f>K9+M9+O9</f>
        <v>384</v>
      </c>
      <c r="U9" s="105">
        <f>(AL9+AM9-L9-M9-N9-O9-P9)/E9</f>
        <v>-1.1422044545973729</v>
      </c>
      <c r="V9" s="104"/>
      <c r="W9" s="103">
        <f>(R9-S9+K9+L9+AN9)/E9</f>
        <v>13.650002855511138</v>
      </c>
      <c r="X9" s="101" t="str">
        <f>IF(W9="","",IF(ROUND(W9,0)&lt;10,"ต้องเร่งเติม",IF(ROUND(W9,0)&lt;=16,"ปกติ","ไม่ต้องทำเพิ่ม")))</f>
        <v>ปกติ</v>
      </c>
      <c r="Y9" s="103">
        <f>(R9-S9-H9+K9+L9+M9+N9+AN9)/E9</f>
        <v>12.641293546544832</v>
      </c>
      <c r="Z9" s="101" t="str">
        <f>IF(Y9="","",IF(ROUND(Y9,0)&lt;10,"ต้องเร่งเติม",IF(ROUND(Y9,0)&lt;=16,"ปกติ","ไม่ต้องทำเพิ่ม")))</f>
        <v>ปกติ</v>
      </c>
      <c r="AA9" s="102">
        <f>(R9-S9-H9-I9+K9+L9+M9+N9+O9+P9+AN9)/E9</f>
        <v>10.925702455739577</v>
      </c>
      <c r="AB9" s="101" t="str">
        <f>IF(AA9="","",IF(ROUND(AA9,0)&lt;10,"ต้องเร่งเติม",IF(ROUND(AA9,0)&lt;=16,"ปกติ","ไม่ต้องทำพิ่ม")))</f>
        <v>ปกติ</v>
      </c>
      <c r="AC9" s="99"/>
      <c r="AD9" s="98" t="s">
        <v>105</v>
      </c>
      <c r="AE9" s="100">
        <f>(K9+M9)-(H9+I9)</f>
        <v>-143.10750000000002</v>
      </c>
      <c r="AF9" s="99"/>
      <c r="AG9" s="98" t="s">
        <v>104</v>
      </c>
      <c r="AH9" s="99">
        <f>(K9+M9+O9)-(H9+I9+J9)</f>
        <v>-180.69749999999999</v>
      </c>
      <c r="AI9" s="99"/>
      <c r="AJ9" s="98" t="s">
        <v>103</v>
      </c>
      <c r="AK9" s="97" t="s">
        <v>102</v>
      </c>
      <c r="AL9" s="171">
        <v>324</v>
      </c>
      <c r="AM9" s="95"/>
      <c r="AN9" s="94"/>
      <c r="AO9" s="169">
        <v>0.98</v>
      </c>
      <c r="AP9" s="92">
        <f>(E9*AO9)*10.75</f>
        <v>553.40355</v>
      </c>
      <c r="AQ9" s="92">
        <f>(E9*AO9)*7.75</f>
        <v>398.96535</v>
      </c>
      <c r="AR9" s="92"/>
      <c r="AS9" s="9"/>
      <c r="AT9" s="9"/>
    </row>
    <row r="10" spans="1:46" ht="18" customHeight="1" x14ac:dyDescent="0.25">
      <c r="A10" s="168"/>
      <c r="B10" s="156"/>
      <c r="C10" s="160"/>
      <c r="D10" s="160"/>
      <c r="E10" s="160"/>
      <c r="F10" s="158"/>
      <c r="G10" s="158"/>
      <c r="H10" s="158"/>
      <c r="I10" s="158"/>
      <c r="J10" s="167"/>
      <c r="K10" s="166"/>
      <c r="L10" s="165"/>
      <c r="M10" s="164"/>
      <c r="N10" s="163"/>
      <c r="O10" s="164"/>
      <c r="P10" s="163"/>
      <c r="Q10" s="162"/>
      <c r="R10" s="161"/>
      <c r="S10" s="161"/>
      <c r="T10" s="156"/>
      <c r="U10" s="160"/>
      <c r="V10" s="159"/>
      <c r="W10" s="160"/>
      <c r="X10" s="160"/>
      <c r="Y10" s="160"/>
      <c r="Z10" s="160"/>
      <c r="AA10" s="160"/>
      <c r="AB10" s="160"/>
      <c r="AC10" s="158"/>
      <c r="AD10" s="156"/>
      <c r="AE10" s="156"/>
      <c r="AF10" s="156"/>
      <c r="AG10" s="156"/>
      <c r="AH10" s="154"/>
      <c r="AI10" s="154"/>
      <c r="AJ10" s="156"/>
      <c r="AK10" s="186" t="s">
        <v>101</v>
      </c>
      <c r="AL10" s="185"/>
      <c r="AM10" s="184"/>
      <c r="AN10" s="153"/>
      <c r="AO10" s="183"/>
      <c r="AP10" s="152"/>
      <c r="AQ10" s="152"/>
      <c r="AR10" s="152"/>
      <c r="AS10" s="151"/>
      <c r="AT10" s="151"/>
    </row>
    <row r="11" spans="1:46" ht="18" customHeight="1" x14ac:dyDescent="0.25">
      <c r="A11" s="182"/>
      <c r="B11" s="120" t="s">
        <v>100</v>
      </c>
      <c r="C11" s="119">
        <v>66</v>
      </c>
      <c r="D11" s="175">
        <v>0.95</v>
      </c>
      <c r="E11" s="117">
        <f>C11*D11</f>
        <v>62.699999999999996</v>
      </c>
      <c r="F11" s="116">
        <f>E11*10.75</f>
        <v>674.02499999999998</v>
      </c>
      <c r="G11" s="116">
        <f>E11*7.75</f>
        <v>485.92499999999995</v>
      </c>
      <c r="H11" s="116">
        <f>E11*3.75</f>
        <v>235.12499999999997</v>
      </c>
      <c r="I11" s="116">
        <f>E11*4</f>
        <v>250.79999999999998</v>
      </c>
      <c r="J11" s="115">
        <f>E11*3</f>
        <v>188.1</v>
      </c>
      <c r="K11" s="114">
        <v>128</v>
      </c>
      <c r="L11" s="113">
        <v>180</v>
      </c>
      <c r="M11" s="112">
        <v>180</v>
      </c>
      <c r="N11" s="111"/>
      <c r="O11" s="112">
        <v>180</v>
      </c>
      <c r="P11" s="111"/>
      <c r="Q11" s="108">
        <f>K11-H11</f>
        <v>-107.12499999999997</v>
      </c>
      <c r="R11" s="106">
        <v>981</v>
      </c>
      <c r="S11" s="106">
        <f>AQ11</f>
        <v>451.91025000000002</v>
      </c>
      <c r="T11" s="106">
        <f>K11+M11+O11</f>
        <v>488</v>
      </c>
      <c r="U11" s="105">
        <f>(AL11+AM11-L11-M11-N11-O11-P11)/E11</f>
        <v>-2.8708133971291869</v>
      </c>
      <c r="V11" s="104"/>
      <c r="W11" s="103">
        <f>(R11-S11+K11+L11+AN11)/E11</f>
        <v>13.350713716108453</v>
      </c>
      <c r="X11" s="101" t="str">
        <f>IF(W11="","",IF(ROUND(W11,0)&lt;10,"ต้องเร่งเติม",IF(ROUND(W11,0)&lt;=16,"ปกติ","ไม่ต้องทำเพิ่ม")))</f>
        <v>ปกติ</v>
      </c>
      <c r="Y11" s="103">
        <f>(R11-S11-H11+K11+L11+M11+N11+AN11)/E11</f>
        <v>12.47152711323764</v>
      </c>
      <c r="Z11" s="101" t="str">
        <f>IF(Y11="","",IF(ROUND(Y11,0)&lt;10,"ต้องเร่งเติม",IF(ROUND(Y11,0)&lt;=16,"ปกติ","ไม่ต้องทำเพิ่ม")))</f>
        <v>ปกติ</v>
      </c>
      <c r="AA11" s="102">
        <f>(R11-S11-H11-I11+K11+L11+M11+N11+O11+P11+AN11)/E11</f>
        <v>11.342340510366828</v>
      </c>
      <c r="AB11" s="101" t="str">
        <f>IF(AA11="","",IF(ROUND(AA11,0)&lt;10,"ต้องเร่งเติม",IF(ROUND(AA11,0)&lt;=16,"ปกติ","ไม่ต้องทำพิ่ม")))</f>
        <v>ปกติ</v>
      </c>
      <c r="AC11" s="99"/>
      <c r="AD11" s="98" t="s">
        <v>99</v>
      </c>
      <c r="AE11" s="100">
        <f>(K11+M11)-(H11+I11)</f>
        <v>-177.92499999999995</v>
      </c>
      <c r="AF11" s="99"/>
      <c r="AG11" s="98" t="s">
        <v>98</v>
      </c>
      <c r="AH11" s="99">
        <f>(K11+M11+O11)-(H11+I11+J11)</f>
        <v>-186.02499999999998</v>
      </c>
      <c r="AI11" s="99" t="s">
        <v>52</v>
      </c>
      <c r="AJ11" s="98" t="s">
        <v>97</v>
      </c>
      <c r="AK11" s="97" t="s">
        <v>96</v>
      </c>
      <c r="AL11" s="171">
        <v>360</v>
      </c>
      <c r="AM11" s="95"/>
      <c r="AN11" s="94"/>
      <c r="AO11" s="169">
        <v>0.93</v>
      </c>
      <c r="AP11" s="92">
        <f>(E11*AO11)*10.75</f>
        <v>626.84325000000001</v>
      </c>
      <c r="AQ11" s="92">
        <f>(E11*AO11)*7.75</f>
        <v>451.91025000000002</v>
      </c>
      <c r="AR11" s="92"/>
      <c r="AS11" s="9"/>
      <c r="AT11" s="9"/>
    </row>
    <row r="12" spans="1:46" ht="18" customHeight="1" x14ac:dyDescent="0.25">
      <c r="A12" s="182"/>
      <c r="B12" s="120" t="s">
        <v>95</v>
      </c>
      <c r="C12" s="119">
        <v>63</v>
      </c>
      <c r="D12" s="175">
        <v>1.02</v>
      </c>
      <c r="E12" s="117">
        <f>C12*D12</f>
        <v>64.260000000000005</v>
      </c>
      <c r="F12" s="116">
        <f>E12*10.75</f>
        <v>690.79500000000007</v>
      </c>
      <c r="G12" s="116">
        <f>E12*7.75</f>
        <v>498.01500000000004</v>
      </c>
      <c r="H12" s="116">
        <f>E12*3.75</f>
        <v>240.97500000000002</v>
      </c>
      <c r="I12" s="116">
        <f>E12*4</f>
        <v>257.04000000000002</v>
      </c>
      <c r="J12" s="115">
        <f>E12*3</f>
        <v>192.78000000000003</v>
      </c>
      <c r="K12" s="114">
        <v>180</v>
      </c>
      <c r="L12" s="113">
        <v>180</v>
      </c>
      <c r="M12" s="112">
        <v>130</v>
      </c>
      <c r="N12" s="111"/>
      <c r="O12" s="112">
        <v>360</v>
      </c>
      <c r="P12" s="111"/>
      <c r="Q12" s="108">
        <f>K12-H12</f>
        <v>-60.975000000000023</v>
      </c>
      <c r="R12" s="106">
        <v>842</v>
      </c>
      <c r="S12" s="106">
        <f>AQ12</f>
        <v>483.07454999999999</v>
      </c>
      <c r="T12" s="106">
        <f>K12+M12+O12</f>
        <v>670</v>
      </c>
      <c r="U12" s="105">
        <f>(AL12+AM12-L12-M12-N12-O12-P12)/E12</f>
        <v>-6.2713974478680354</v>
      </c>
      <c r="V12" s="172"/>
      <c r="W12" s="103">
        <f>(R12-S12+K12+L12+AN12)/E12</f>
        <v>11.187759881730468</v>
      </c>
      <c r="X12" s="101" t="str">
        <f>IF(W12="","",IF(ROUND(W12,0)&lt;10,"ต้องเร่งเติม",IF(ROUND(W12,0)&lt;=16,"ปกติ","ไม่ต้องทำเพิ่ม")))</f>
        <v>ปกติ</v>
      </c>
      <c r="Y12" s="103">
        <f>(R12-S12-H12+K12+L12+M12+N12+AN12)/E12</f>
        <v>9.4607913165266098</v>
      </c>
      <c r="Z12" s="101" t="str">
        <f>IF(Y12="","",IF(ROUND(Y12,0)&lt;10,"ต้องเร่งเติม",IF(ROUND(Y12,0)&lt;=16,"ปกติ","ไม่ต้องทำเพิ่ม")))</f>
        <v>ต้องเร่งเติม</v>
      </c>
      <c r="AA12" s="102">
        <f>(R12-S12-H12-I12+K12+L12+M12+N12+O12+P12+AN12)/E12</f>
        <v>11.063032212885153</v>
      </c>
      <c r="AB12" s="101" t="str">
        <f>IF(AA12="","",IF(ROUND(AA12,0)&lt;10,"ต้องเร่งเติม",IF(ROUND(AA12,0)&lt;=16,"ปกติ","ไม่ต้องทำพิ่ม")))</f>
        <v>ปกติ</v>
      </c>
      <c r="AC12" s="99"/>
      <c r="AD12" s="172" t="s">
        <v>94</v>
      </c>
      <c r="AE12" s="100">
        <f>(K12+M12)-(H12+I12)</f>
        <v>-188.01500000000004</v>
      </c>
      <c r="AF12" s="99"/>
      <c r="AG12" s="172" t="s">
        <v>93</v>
      </c>
      <c r="AH12" s="99">
        <f>(K12+M12+O12)-(H12+I12+J12)</f>
        <v>-20.795000000000073</v>
      </c>
      <c r="AI12" s="99"/>
      <c r="AJ12" s="98" t="s">
        <v>88</v>
      </c>
      <c r="AK12" s="97" t="s">
        <v>92</v>
      </c>
      <c r="AL12" s="171">
        <v>267</v>
      </c>
      <c r="AM12" s="95"/>
      <c r="AN12" s="94"/>
      <c r="AO12" s="169">
        <v>0.97</v>
      </c>
      <c r="AP12" s="92">
        <f>(E12*AO12)*10.75</f>
        <v>670.07114999999999</v>
      </c>
      <c r="AQ12" s="92">
        <f>(E12*AO12)*7.75</f>
        <v>483.07454999999999</v>
      </c>
      <c r="AR12" s="92"/>
      <c r="AS12" s="9"/>
      <c r="AT12" s="9"/>
    </row>
    <row r="13" spans="1:46" ht="18" customHeight="1" x14ac:dyDescent="0.25">
      <c r="A13" s="180"/>
      <c r="B13" s="120" t="s">
        <v>91</v>
      </c>
      <c r="C13" s="119">
        <v>44</v>
      </c>
      <c r="D13" s="175">
        <v>1.06</v>
      </c>
      <c r="E13" s="117">
        <f>C13*D13</f>
        <v>46.64</v>
      </c>
      <c r="F13" s="116">
        <f>E13*10.75</f>
        <v>501.38</v>
      </c>
      <c r="G13" s="116">
        <f>E13*7.75</f>
        <v>361.46</v>
      </c>
      <c r="H13" s="116">
        <f>E13*3.75</f>
        <v>174.9</v>
      </c>
      <c r="I13" s="116">
        <f>E13*4</f>
        <v>186.56</v>
      </c>
      <c r="J13" s="115">
        <f>E13*3</f>
        <v>139.92000000000002</v>
      </c>
      <c r="K13" s="181">
        <v>180</v>
      </c>
      <c r="L13" s="174"/>
      <c r="M13" s="112">
        <v>180</v>
      </c>
      <c r="N13" s="111"/>
      <c r="O13" s="112">
        <v>180</v>
      </c>
      <c r="P13" s="111"/>
      <c r="Q13" s="108">
        <f>K13-H13</f>
        <v>5.0999999999999943</v>
      </c>
      <c r="R13" s="106">
        <v>664</v>
      </c>
      <c r="S13" s="106">
        <f>AQ13</f>
        <v>365.07460000000003</v>
      </c>
      <c r="T13" s="106">
        <f>K13+M13+O13</f>
        <v>540</v>
      </c>
      <c r="U13" s="105">
        <f>(AL13+AM13-L13-M13-N13-O13-P13)/E13</f>
        <v>7.7186963979416809</v>
      </c>
      <c r="V13" s="173"/>
      <c r="W13" s="103">
        <f>(R13-S13+K13+L13+AN13)/E13</f>
        <v>10.268554888507717</v>
      </c>
      <c r="X13" s="101" t="str">
        <f>IF(W13="","",IF(ROUND(W13,0)&lt;10,"ต้องเร่งเติม",IF(ROUND(W13,0)&lt;=16,"ปกติ","ไม่ต้องทำเพิ่ม")))</f>
        <v>ปกติ</v>
      </c>
      <c r="Y13" s="103">
        <f>(R13-S13-H13+K13+L13+M13+N13+AN13)/E13</f>
        <v>10.377903087478559</v>
      </c>
      <c r="Z13" s="101" t="str">
        <f>IF(Y13="","",IF(ROUND(Y13,0)&lt;10,"ต้องเร่งเติม",IF(ROUND(Y13,0)&lt;=16,"ปกติ","ไม่ต้องทำเพิ่ม")))</f>
        <v>ปกติ</v>
      </c>
      <c r="AA13" s="102">
        <f>(R13-S13-H13-I13+K13+L13+M13+N13+O13+P13+AN13)/E13</f>
        <v>10.237251286449398</v>
      </c>
      <c r="AB13" s="101" t="str">
        <f>IF(AA13="","",IF(ROUND(AA13,0)&lt;10,"ต้องเร่งเติม",IF(ROUND(AA13,0)&lt;=16,"ปกติ","ไม่ต้องทำพิ่ม")))</f>
        <v>ปกติ</v>
      </c>
      <c r="AC13" s="99"/>
      <c r="AD13" s="98" t="s">
        <v>90</v>
      </c>
      <c r="AE13" s="100">
        <f>(K13+M13)-(H13+I13)</f>
        <v>-1.4600000000000364</v>
      </c>
      <c r="AF13" s="99"/>
      <c r="AG13" s="98" t="s">
        <v>89</v>
      </c>
      <c r="AH13" s="99">
        <f>(K13+M13+O13)-(H13+I13+J13)</f>
        <v>38.619999999999948</v>
      </c>
      <c r="AI13" s="99"/>
      <c r="AJ13" s="98" t="s">
        <v>88</v>
      </c>
      <c r="AK13" s="97" t="s">
        <v>87</v>
      </c>
      <c r="AL13" s="171">
        <v>720</v>
      </c>
      <c r="AM13" s="95"/>
      <c r="AN13" s="94"/>
      <c r="AO13" s="169">
        <v>1.01</v>
      </c>
      <c r="AP13" s="92">
        <f>(E13*AO13)*10.75</f>
        <v>506.3938</v>
      </c>
      <c r="AQ13" s="92">
        <f>(E13*AO13)*7.75</f>
        <v>365.07460000000003</v>
      </c>
      <c r="AR13" s="92"/>
      <c r="AS13" s="9"/>
      <c r="AT13" s="9"/>
    </row>
    <row r="14" spans="1:46" ht="18" customHeight="1" x14ac:dyDescent="0.25">
      <c r="A14" s="180"/>
      <c r="B14" s="120" t="s">
        <v>86</v>
      </c>
      <c r="C14" s="119">
        <v>58</v>
      </c>
      <c r="D14" s="175">
        <v>0.97</v>
      </c>
      <c r="E14" s="117">
        <f>C14*D14</f>
        <v>56.26</v>
      </c>
      <c r="F14" s="116">
        <f>E14*10.75</f>
        <v>604.79499999999996</v>
      </c>
      <c r="G14" s="116">
        <f>E14*7.75</f>
        <v>436.01499999999999</v>
      </c>
      <c r="H14" s="116">
        <f>E14*3.75</f>
        <v>210.97499999999999</v>
      </c>
      <c r="I14" s="116">
        <f>E14*4</f>
        <v>225.04</v>
      </c>
      <c r="J14" s="115">
        <f>E14*3</f>
        <v>168.78</v>
      </c>
      <c r="K14" s="114">
        <v>280</v>
      </c>
      <c r="L14" s="113"/>
      <c r="M14" s="112">
        <v>200</v>
      </c>
      <c r="N14" s="111"/>
      <c r="O14" s="112">
        <v>120</v>
      </c>
      <c r="P14" s="111"/>
      <c r="Q14" s="108">
        <f>K14-H14</f>
        <v>69.025000000000006</v>
      </c>
      <c r="R14" s="106">
        <v>960</v>
      </c>
      <c r="S14" s="106">
        <f>AQ14</f>
        <v>401.13380000000001</v>
      </c>
      <c r="T14" s="106">
        <f>K14+M14+O14</f>
        <v>600</v>
      </c>
      <c r="U14" s="105">
        <f>(AL14+AM14-L14-M14-N14-O14-P14)/E14</f>
        <v>6.7543547813722009</v>
      </c>
      <c r="V14" s="172"/>
      <c r="W14" s="103">
        <f>(R14-S14+K14+L14+AN14)/E14</f>
        <v>14.910526128688232</v>
      </c>
      <c r="X14" s="101" t="str">
        <f>IF(W14="","",IF(ROUND(W14,0)&lt;10,"ต้องเร่งเติม",IF(ROUND(W14,0)&lt;=16,"ปกติ","ไม่ต้องทำเพิ่ม")))</f>
        <v>ปกติ</v>
      </c>
      <c r="Y14" s="103">
        <f>(R14-S14-H14+K14+L14+M14+N14+AN14)/E14</f>
        <v>14.715449697831495</v>
      </c>
      <c r="Z14" s="101" t="str">
        <f>IF(Y14="","",IF(ROUND(Y14,0)&lt;10,"ต้องเร่งเติม",IF(ROUND(Y14,0)&lt;=16,"ปกติ","ไม่ต้องทำเพิ่ม")))</f>
        <v>ปกติ</v>
      </c>
      <c r="AA14" s="102">
        <f>(R14-S14-H14-I14+K14+L14+M14+N14+O14+P14+AN14)/E14</f>
        <v>12.848403839317454</v>
      </c>
      <c r="AB14" s="101" t="str">
        <f>IF(AA14="","",IF(ROUND(AA14,0)&lt;10,"ต้องเร่งเติม",IF(ROUND(AA14,0)&lt;=16,"ปกติ","ไม่ต้องทำพิ่ม")))</f>
        <v>ปกติ</v>
      </c>
      <c r="AC14" s="99"/>
      <c r="AD14" s="172" t="s">
        <v>85</v>
      </c>
      <c r="AE14" s="100">
        <f>(K14+M14)-(H14+I14)</f>
        <v>43.985000000000014</v>
      </c>
      <c r="AF14" s="99"/>
      <c r="AG14" s="172" t="s">
        <v>84</v>
      </c>
      <c r="AH14" s="99">
        <f>(K14+M14+O14)-(H14+I14+J14)</f>
        <v>-4.7949999999999591</v>
      </c>
      <c r="AI14" s="99"/>
      <c r="AJ14" s="172"/>
      <c r="AK14" s="97" t="s">
        <v>83</v>
      </c>
      <c r="AL14" s="171">
        <v>700</v>
      </c>
      <c r="AM14" s="95"/>
      <c r="AN14" s="170"/>
      <c r="AO14" s="93">
        <v>0.92</v>
      </c>
      <c r="AP14" s="92">
        <f>(E14*AO14)*10.75</f>
        <v>556.41139999999996</v>
      </c>
      <c r="AQ14" s="92">
        <f>(E14*AO14)*7.75</f>
        <v>401.13380000000001</v>
      </c>
      <c r="AR14" s="92"/>
      <c r="AS14" s="9"/>
      <c r="AT14" s="9"/>
    </row>
    <row r="15" spans="1:46" ht="18" customHeight="1" x14ac:dyDescent="0.25">
      <c r="A15" s="180"/>
      <c r="B15" s="120" t="s">
        <v>82</v>
      </c>
      <c r="C15" s="119">
        <v>54</v>
      </c>
      <c r="D15" s="179">
        <v>0.88</v>
      </c>
      <c r="E15" s="117">
        <f>C15*D15</f>
        <v>47.52</v>
      </c>
      <c r="F15" s="116">
        <f>E15*10.75</f>
        <v>510.84000000000003</v>
      </c>
      <c r="G15" s="116">
        <f>E15*7.75</f>
        <v>368.28000000000003</v>
      </c>
      <c r="H15" s="116">
        <f>E15*3.75</f>
        <v>178.20000000000002</v>
      </c>
      <c r="I15" s="116">
        <f>E15*4</f>
        <v>190.08</v>
      </c>
      <c r="J15" s="115">
        <f>E15*3</f>
        <v>142.56</v>
      </c>
      <c r="K15" s="114">
        <v>180</v>
      </c>
      <c r="L15" s="113"/>
      <c r="M15" s="112">
        <v>180</v>
      </c>
      <c r="N15" s="111"/>
      <c r="O15" s="110">
        <v>160</v>
      </c>
      <c r="P15" s="109"/>
      <c r="Q15" s="108">
        <f>K15-H15</f>
        <v>1.7999999999999829</v>
      </c>
      <c r="R15" s="106">
        <v>666</v>
      </c>
      <c r="S15" s="106">
        <f>AQ15</f>
        <v>261.47880000000004</v>
      </c>
      <c r="T15" s="106">
        <f>K15+M15+O15</f>
        <v>520</v>
      </c>
      <c r="U15" s="105">
        <f>(AL15+AM15-L15-M15-N15-O15-P15)/E15</f>
        <v>5.4082491582491583</v>
      </c>
      <c r="V15" s="173"/>
      <c r="W15" s="103">
        <f>(R15-S15+K15+L15+AN15)/E15</f>
        <v>12.3005303030303</v>
      </c>
      <c r="X15" s="101" t="str">
        <f>IF(W15="","",IF(ROUND(W15,0)&lt;10,"ต้องเร่งเติม",IF(ROUND(W15,0)&lt;=16,"ปกติ","ไม่ต้องทำเพิ่ม")))</f>
        <v>ปกติ</v>
      </c>
      <c r="Y15" s="103">
        <f>(R15-S15-H15+K15+L15+M15+N15+AN15)/E15</f>
        <v>12.33840909090909</v>
      </c>
      <c r="Z15" s="101" t="str">
        <f>IF(Y15="","",IF(ROUND(Y15,0)&lt;10,"ต้องเร่งเติม",IF(ROUND(Y15,0)&lt;=16,"ปกติ","ไม่ต้องทำเพิ่ม")))</f>
        <v>ปกติ</v>
      </c>
      <c r="AA15" s="102">
        <f>(R15-S15-H15-I15+K15+L15+M15+N15+O15+P15+AN15)/E15</f>
        <v>11.705412457912455</v>
      </c>
      <c r="AB15" s="101" t="str">
        <f>IF(AA15="","",IF(ROUND(AA15,0)&lt;10,"ต้องเร่งเติม",IF(ROUND(AA15,0)&lt;=16,"ปกติ","ไม่ต้องทำพิ่ม")))</f>
        <v>ปกติ</v>
      </c>
      <c r="AC15" s="99"/>
      <c r="AD15" s="98" t="s">
        <v>81</v>
      </c>
      <c r="AE15" s="100">
        <f>(K15+M15)-(H15+I15)</f>
        <v>-8.2800000000000296</v>
      </c>
      <c r="AF15" s="99"/>
      <c r="AG15" s="98" t="s">
        <v>80</v>
      </c>
      <c r="AH15" s="99">
        <f>(K15+M15+O15)-(H15+I15+J15)</f>
        <v>9.1599999999999682</v>
      </c>
      <c r="AI15" s="99"/>
      <c r="AJ15" s="98"/>
      <c r="AK15" s="97" t="s">
        <v>79</v>
      </c>
      <c r="AL15" s="171">
        <v>597</v>
      </c>
      <c r="AM15" s="95"/>
      <c r="AN15" s="170"/>
      <c r="AO15" s="93">
        <v>0.71</v>
      </c>
      <c r="AP15" s="92">
        <f>(E15*AO15)*10.75</f>
        <v>362.69640000000004</v>
      </c>
      <c r="AQ15" s="92">
        <f>(E15*AO15)*7.75</f>
        <v>261.47880000000004</v>
      </c>
      <c r="AR15" s="92"/>
      <c r="AS15" s="9"/>
      <c r="AT15" s="9"/>
    </row>
    <row r="16" spans="1:46" ht="18" customHeight="1" x14ac:dyDescent="0.25">
      <c r="A16" s="180"/>
      <c r="B16" s="120" t="s">
        <v>78</v>
      </c>
      <c r="C16" s="119">
        <v>61</v>
      </c>
      <c r="D16" s="179">
        <v>0.88</v>
      </c>
      <c r="E16" s="117">
        <f>C16*D16</f>
        <v>53.68</v>
      </c>
      <c r="F16" s="116">
        <f>E16*10.75</f>
        <v>577.05999999999995</v>
      </c>
      <c r="G16" s="116">
        <f>E16*7.75</f>
        <v>416.02</v>
      </c>
      <c r="H16" s="116">
        <f>E16*3.75</f>
        <v>201.3</v>
      </c>
      <c r="I16" s="116">
        <f>E16*4</f>
        <v>214.72</v>
      </c>
      <c r="J16" s="115">
        <f>E16*3</f>
        <v>161.04</v>
      </c>
      <c r="K16" s="114">
        <v>75</v>
      </c>
      <c r="L16" s="113">
        <v>100</v>
      </c>
      <c r="M16" s="112">
        <v>200</v>
      </c>
      <c r="N16" s="111"/>
      <c r="O16" s="112"/>
      <c r="P16" s="111"/>
      <c r="Q16" s="108">
        <f>K16-H16</f>
        <v>-126.30000000000001</v>
      </c>
      <c r="R16" s="106">
        <v>601</v>
      </c>
      <c r="S16" s="106">
        <f>AQ16</f>
        <v>370.25779999999997</v>
      </c>
      <c r="T16" s="106">
        <f>K16+M16+O16</f>
        <v>275</v>
      </c>
      <c r="U16" s="105">
        <f>(AL16+AM16-L16-M16-N16-O16-P16)/E16</f>
        <v>-5.5886736214605071</v>
      </c>
      <c r="V16" s="173" t="s">
        <v>77</v>
      </c>
      <c r="W16" s="103">
        <f>(R16-S16+K16+L16+AN16)/E16</f>
        <v>14.078654992548437</v>
      </c>
      <c r="X16" s="101" t="str">
        <f>IF(W16="","",IF(ROUND(W16,0)&lt;10,"ต้องเร่งเติม",IF(ROUND(W16,0)&lt;=16,"ปกติ","ไม่ต้องทำเพิ่ม")))</f>
        <v>ปกติ</v>
      </c>
      <c r="Y16" s="103">
        <f>(R16-S16-H16+K16+L16+M16+N16+AN16)/E16</f>
        <v>14.054437406855438</v>
      </c>
      <c r="Z16" s="101" t="str">
        <f>IF(Y16="","",IF(ROUND(Y16,0)&lt;10,"ต้องเร่งเติม",IF(ROUND(Y16,0)&lt;=16,"ปกติ","ไม่ต้องทำเพิ่ม")))</f>
        <v>ปกติ</v>
      </c>
      <c r="AA16" s="102">
        <f>(R16-S16-H16-I16+K16+L16+M16+N16+O16+P16+AN16)/E16</f>
        <v>10.05443740685544</v>
      </c>
      <c r="AB16" s="101" t="str">
        <f>IF(AA16="","",IF(ROUND(AA16,0)&lt;10,"ต้องเร่งเติม",IF(ROUND(AA16,0)&lt;=16,"ปกติ","ไม่ต้องทำพิ่ม")))</f>
        <v>ปกติ</v>
      </c>
      <c r="AC16" s="99"/>
      <c r="AD16" s="98" t="s">
        <v>76</v>
      </c>
      <c r="AE16" s="100">
        <f>(K16+M16)-(H16+I16)</f>
        <v>-141.01999999999998</v>
      </c>
      <c r="AF16" s="99"/>
      <c r="AG16" s="98" t="s">
        <v>75</v>
      </c>
      <c r="AH16" s="99">
        <f>(K16+M16+O16)-(H16+I16+J16)</f>
        <v>-302.05999999999995</v>
      </c>
      <c r="AI16" s="99"/>
      <c r="AJ16" s="98"/>
      <c r="AK16" s="97" t="s">
        <v>74</v>
      </c>
      <c r="AL16" s="171"/>
      <c r="AM16" s="95"/>
      <c r="AN16" s="170">
        <v>350</v>
      </c>
      <c r="AO16" s="93">
        <v>0.89</v>
      </c>
      <c r="AP16" s="92">
        <f>(E16*AO16)*10.75</f>
        <v>513.58339999999998</v>
      </c>
      <c r="AQ16" s="92">
        <f>(E16*AO16)*7.75</f>
        <v>370.25779999999997</v>
      </c>
      <c r="AR16" s="92"/>
      <c r="AS16" s="178"/>
      <c r="AT16" s="9"/>
    </row>
    <row r="17" spans="1:46" ht="18" customHeight="1" x14ac:dyDescent="0.25">
      <c r="A17" s="176"/>
      <c r="B17" s="120" t="s">
        <v>73</v>
      </c>
      <c r="C17" s="119">
        <v>27</v>
      </c>
      <c r="D17" s="175">
        <v>0.88</v>
      </c>
      <c r="E17" s="117">
        <f>C17*D17</f>
        <v>23.76</v>
      </c>
      <c r="F17" s="116">
        <f>E17*10.75</f>
        <v>255.42000000000002</v>
      </c>
      <c r="G17" s="116">
        <f>E17*7.75</f>
        <v>184.14000000000001</v>
      </c>
      <c r="H17" s="116">
        <f>E17*3.75</f>
        <v>89.100000000000009</v>
      </c>
      <c r="I17" s="116">
        <f>E17*4</f>
        <v>95.04</v>
      </c>
      <c r="J17" s="115">
        <f>E17*3</f>
        <v>71.28</v>
      </c>
      <c r="K17" s="114">
        <v>44</v>
      </c>
      <c r="L17" s="174"/>
      <c r="M17" s="112">
        <v>150</v>
      </c>
      <c r="N17" s="111"/>
      <c r="O17" s="112"/>
      <c r="P17" s="111"/>
      <c r="Q17" s="108">
        <f>K17-H17</f>
        <v>-45.100000000000009</v>
      </c>
      <c r="R17" s="106">
        <v>231</v>
      </c>
      <c r="S17" s="106">
        <v>0</v>
      </c>
      <c r="T17" s="106">
        <f>K17+M17+O17</f>
        <v>194</v>
      </c>
      <c r="U17" s="105">
        <f>(AL17+AM17-L17-M17-N17-O17-P17)/E17</f>
        <v>4.7558922558922552</v>
      </c>
      <c r="V17" s="172"/>
      <c r="W17" s="103">
        <f>(R17-S17+K17+L17+AN17)/E17</f>
        <v>11.574074074074073</v>
      </c>
      <c r="X17" s="101" t="str">
        <f>IF(W17="","",IF(ROUND(W17,0)&lt;10,"ต้องเร่งเติม",IF(ROUND(W17,0)&lt;=16,"ปกติ","ไม่ต้องทำเพิ่ม")))</f>
        <v>ปกติ</v>
      </c>
      <c r="Y17" s="103">
        <f>(R17-S17-H17+K17+L17+M17+N17+AN17)/E17</f>
        <v>14.137205387205386</v>
      </c>
      <c r="Z17" s="101" t="str">
        <f>IF(Y17="","",IF(ROUND(Y17,0)&lt;10,"ต้องเร่งเติม",IF(ROUND(Y17,0)&lt;=16,"ปกติ","ไม่ต้องทำเพิ่ม")))</f>
        <v>ปกติ</v>
      </c>
      <c r="AA17" s="102">
        <f>(R17-S17-H17-I17+K17+L17+M17+N17+O17+P17+AN17)/E17</f>
        <v>10.137205387205384</v>
      </c>
      <c r="AB17" s="101" t="str">
        <f>IF(AA17="","",IF(ROUND(AA17,0)&lt;10,"ต้องเร่งเติม",IF(ROUND(AA17,0)&lt;=16,"ปกติ","ไม่ต้องทำพิ่ม")))</f>
        <v>ปกติ</v>
      </c>
      <c r="AC17" s="99"/>
      <c r="AD17" s="172" t="s">
        <v>72</v>
      </c>
      <c r="AE17" s="100">
        <f>(K17+M17)-(H17+I17)</f>
        <v>9.8599999999999852</v>
      </c>
      <c r="AF17" s="99"/>
      <c r="AG17" s="172" t="s">
        <v>71</v>
      </c>
      <c r="AH17" s="99">
        <f>(K17+M17+O17)-(H17+I17+J17)</f>
        <v>-61.420000000000016</v>
      </c>
      <c r="AI17" s="99"/>
      <c r="AJ17" s="98"/>
      <c r="AK17" s="97" t="s">
        <v>67</v>
      </c>
      <c r="AL17" s="171">
        <v>263</v>
      </c>
      <c r="AM17" s="95"/>
      <c r="AN17" s="170"/>
      <c r="AO17" s="177">
        <v>0.88</v>
      </c>
      <c r="AP17" s="92">
        <f>(E17*AO17)*10.75</f>
        <v>224.76960000000003</v>
      </c>
      <c r="AQ17" s="92">
        <f>(E17*AO17)*7.75</f>
        <v>162.04320000000001</v>
      </c>
      <c r="AR17" s="92"/>
      <c r="AS17" s="9"/>
      <c r="AT17" s="9"/>
    </row>
    <row r="18" spans="1:46" ht="18" customHeight="1" x14ac:dyDescent="0.25">
      <c r="A18" s="176"/>
      <c r="B18" s="120" t="s">
        <v>70</v>
      </c>
      <c r="C18" s="119">
        <v>58</v>
      </c>
      <c r="D18" s="175">
        <v>0.96</v>
      </c>
      <c r="E18" s="117">
        <f>C18*D18</f>
        <v>55.68</v>
      </c>
      <c r="F18" s="116">
        <f>E18*10.75</f>
        <v>598.55999999999995</v>
      </c>
      <c r="G18" s="116">
        <f>E18*7.75</f>
        <v>431.52</v>
      </c>
      <c r="H18" s="116">
        <f>E18*3.75</f>
        <v>208.8</v>
      </c>
      <c r="I18" s="116">
        <f>E18*4</f>
        <v>222.72</v>
      </c>
      <c r="J18" s="115">
        <f>E18*3</f>
        <v>167.04</v>
      </c>
      <c r="K18" s="114">
        <v>300</v>
      </c>
      <c r="L18" s="174"/>
      <c r="M18" s="112">
        <v>300</v>
      </c>
      <c r="N18" s="111"/>
      <c r="O18" s="112"/>
      <c r="P18" s="111"/>
      <c r="Q18" s="108">
        <f>K18-H18</f>
        <v>91.199999999999989</v>
      </c>
      <c r="R18" s="106">
        <v>1116</v>
      </c>
      <c r="S18" s="106">
        <f>AQ18</f>
        <v>392.68320000000006</v>
      </c>
      <c r="T18" s="106">
        <f>K18+M18+O18</f>
        <v>600</v>
      </c>
      <c r="U18" s="105">
        <f>(AL18+AM18-L18-M18-N18-O18-P18)/E18</f>
        <v>12.571839080459771</v>
      </c>
      <c r="V18" s="173"/>
      <c r="W18" s="103">
        <f>(R18-S18+K18+L18+AN18)/E18</f>
        <v>18.378534482758621</v>
      </c>
      <c r="X18" s="101" t="str">
        <f>IF(W18="","",IF(ROUND(W18,0)&lt;10,"ต้องเร่งเติม",IF(ROUND(W18,0)&lt;=16,"ปกติ","ไม่ต้องทำเพิ่ม")))</f>
        <v>ไม่ต้องทำเพิ่ม</v>
      </c>
      <c r="Y18" s="103">
        <f>(R18-S18-H18+K18+L18+M18+N18+AN18)/E18</f>
        <v>20.016465517241379</v>
      </c>
      <c r="Z18" s="101" t="str">
        <f>IF(Y18="","",IF(ROUND(Y18,0)&lt;10,"ต้องเร่งเติม",IF(ROUND(Y18,0)&lt;=16,"ปกติ","ไม่ต้องทำเพิ่ม")))</f>
        <v>ไม่ต้องทำเพิ่ม</v>
      </c>
      <c r="AA18" s="102">
        <f>(R18-S18-H18-I18+K18+L18+M18+N18+O18+P18+AN18)/E18</f>
        <v>16.016465517241375</v>
      </c>
      <c r="AB18" s="101" t="str">
        <f>IF(AA18="","",IF(ROUND(AA18,0)&lt;10,"ต้องเร่งเติม",IF(ROUND(AA18,0)&lt;=16,"ปกติ","ไม่ต้องทำพิ่ม")))</f>
        <v>ปกติ</v>
      </c>
      <c r="AC18" s="99"/>
      <c r="AD18" s="172" t="s">
        <v>69</v>
      </c>
      <c r="AE18" s="100">
        <f>(K18+M18)-(H18+I18)</f>
        <v>168.48000000000002</v>
      </c>
      <c r="AF18" s="99"/>
      <c r="AG18" s="172" t="s">
        <v>68</v>
      </c>
      <c r="AH18" s="99">
        <f>(K18+M18+O18)-(H18+I18+J18)</f>
        <v>1.4400000000000546</v>
      </c>
      <c r="AI18" s="99"/>
      <c r="AJ18" s="98"/>
      <c r="AK18" s="97" t="s">
        <v>67</v>
      </c>
      <c r="AL18" s="171">
        <v>1000</v>
      </c>
      <c r="AM18" s="95"/>
      <c r="AN18" s="170"/>
      <c r="AO18" s="169">
        <v>0.91</v>
      </c>
      <c r="AP18" s="92">
        <f>(E18*AO18)*10.75</f>
        <v>544.68960000000004</v>
      </c>
      <c r="AQ18" s="92">
        <f>(E18*AO18)*7.75</f>
        <v>392.68320000000006</v>
      </c>
      <c r="AR18" s="92"/>
      <c r="AS18" s="9"/>
      <c r="AT18" s="9"/>
    </row>
    <row r="19" spans="1:46" ht="21" x14ac:dyDescent="0.25">
      <c r="A19" s="168"/>
      <c r="B19" s="156"/>
      <c r="C19" s="160"/>
      <c r="D19" s="160"/>
      <c r="E19" s="160"/>
      <c r="F19" s="158"/>
      <c r="G19" s="158"/>
      <c r="H19" s="158"/>
      <c r="I19" s="158"/>
      <c r="J19" s="167"/>
      <c r="K19" s="166"/>
      <c r="L19" s="165"/>
      <c r="M19" s="164"/>
      <c r="N19" s="163"/>
      <c r="O19" s="164"/>
      <c r="P19" s="163"/>
      <c r="Q19" s="162"/>
      <c r="R19" s="158"/>
      <c r="S19" s="161"/>
      <c r="T19" s="156"/>
      <c r="U19" s="160"/>
      <c r="V19" s="159"/>
      <c r="W19" s="89"/>
      <c r="X19" s="89"/>
      <c r="Y19" s="89">
        <f>11/11</f>
        <v>1</v>
      </c>
      <c r="Z19" s="89"/>
      <c r="AA19" s="89">
        <f>11/11</f>
        <v>1</v>
      </c>
      <c r="AB19" s="89"/>
      <c r="AC19" s="158">
        <v>0</v>
      </c>
      <c r="AD19" s="157"/>
      <c r="AE19" s="156"/>
      <c r="AF19" s="156"/>
      <c r="AG19" s="156"/>
      <c r="AH19" s="154"/>
      <c r="AI19" s="154"/>
      <c r="AJ19" s="154"/>
      <c r="AK19" s="155"/>
      <c r="AL19" s="154"/>
      <c r="AM19" s="152"/>
      <c r="AN19" s="153"/>
      <c r="AO19" s="152"/>
      <c r="AP19" s="152"/>
      <c r="AQ19" s="152"/>
      <c r="AR19" s="152"/>
      <c r="AS19" s="151"/>
      <c r="AT19" s="151"/>
    </row>
    <row r="20" spans="1:46" ht="74.25" customHeight="1" x14ac:dyDescent="0.25">
      <c r="A20" s="150"/>
      <c r="B20" s="149" t="str">
        <f>B2</f>
        <v>ไลน์เย็บ</v>
      </c>
      <c r="C20" s="148" t="str">
        <f>C2</f>
        <v xml:space="preserve">เป้า:ชม
 แผน
OTP 100 
</v>
      </c>
      <c r="D20" s="148" t="str">
        <f>D2</f>
        <v>OTP เย็บ
สีแดง= 
ให้มากกว่าเย็บได้วันก่อน</v>
      </c>
      <c r="E20" s="147" t="str">
        <f>E2</f>
        <v>เป้า : ชม</v>
      </c>
      <c r="F20" s="146" t="str">
        <f>F2</f>
        <v>เป้าวันot</v>
      </c>
      <c r="G20" s="146" t="str">
        <f>G2</f>
        <v>เป้าไม่มี OT</v>
      </c>
      <c r="H20" s="146" t="str">
        <f>H2</f>
        <v xml:space="preserve">เป้าเช้า </v>
      </c>
      <c r="I20" s="146" t="str">
        <f>I2</f>
        <v>เป้าบ่าย</v>
      </c>
      <c r="J20" s="146" t="str">
        <f>J2</f>
        <v>เป้า ot</v>
      </c>
      <c r="K20" s="145" t="str">
        <f>K2</f>
        <v xml:space="preserve">เช้า </v>
      </c>
      <c r="L20" s="143"/>
      <c r="M20" s="144" t="str">
        <f>M2</f>
        <v xml:space="preserve">บ่าย </v>
      </c>
      <c r="N20" s="143"/>
      <c r="O20" s="144" t="str">
        <f>O2</f>
        <v xml:space="preserve">OT </v>
      </c>
      <c r="P20" s="143"/>
      <c r="Q20" s="142" t="str">
        <f>Q2</f>
        <v>ขาดเป้าเช้า</v>
      </c>
      <c r="R20" s="138" t="s">
        <v>66</v>
      </c>
      <c r="S20" s="141" t="s">
        <v>65</v>
      </c>
      <c r="T20" s="140" t="s">
        <v>64</v>
      </c>
      <c r="U20" s="139" t="s">
        <v>63</v>
      </c>
      <c r="V20" s="134" t="str">
        <f>V2</f>
        <v>รอตัด</v>
      </c>
      <c r="W20" s="138" t="s">
        <v>62</v>
      </c>
      <c r="X20" s="137" t="s">
        <v>40</v>
      </c>
      <c r="Y20" s="138" t="s">
        <v>61</v>
      </c>
      <c r="Z20" s="137" t="s">
        <v>40</v>
      </c>
      <c r="AA20" s="138" t="s">
        <v>60</v>
      </c>
      <c r="AB20" s="137" t="s">
        <v>40</v>
      </c>
      <c r="AC20" s="134" t="str">
        <f>AC2</f>
        <v>สาเหตุที่ไม่ได้เป้าเช้า</v>
      </c>
      <c r="AD20" s="136" t="str">
        <f>AD2</f>
        <v>รายละเอียด</v>
      </c>
      <c r="AE20" s="135" t="str">
        <f>AE2</f>
        <v>ขาดเป้าบ่าย</v>
      </c>
      <c r="AF20" s="132"/>
      <c r="AG20" s="134" t="str">
        <f>AG2</f>
        <v>รายละเอียด</v>
      </c>
      <c r="AH20" s="133" t="str">
        <f>AH2</f>
        <v>ขาดเป้าot (ครบวัน)</v>
      </c>
      <c r="AI20" s="132"/>
      <c r="AJ20" s="132" t="str">
        <f>AJ2</f>
        <v>รายละเอียด ot</v>
      </c>
      <c r="AK20" s="131" t="str">
        <f>AK2</f>
        <v>ข้อมูลสาเหตุห้ามลบ</v>
      </c>
      <c r="AL20" s="130" t="str">
        <f>AL2</f>
        <v>ตัดรอจัดงาน</v>
      </c>
      <c r="AM20" s="129" t="s">
        <v>59</v>
      </c>
      <c r="AN20" s="128" t="s">
        <v>58</v>
      </c>
      <c r="AO20" s="127" t="str">
        <f>AO2</f>
        <v>OTP เย็บ 
15/08</v>
      </c>
      <c r="AP20" s="127" t="str">
        <f>AP2</f>
        <v>ot</v>
      </c>
      <c r="AQ20" s="127" t="str">
        <f>AQ2</f>
        <v>ไม่มี ot</v>
      </c>
      <c r="AR20" s="126">
        <f>AR2</f>
        <v>0</v>
      </c>
      <c r="AS20" s="10"/>
      <c r="AT20" s="10"/>
    </row>
    <row r="21" spans="1:46" ht="23.25" customHeight="1" x14ac:dyDescent="0.25">
      <c r="A21" s="125" t="s">
        <v>57</v>
      </c>
      <c r="B21" s="124" t="s">
        <v>56</v>
      </c>
      <c r="C21" s="119">
        <v>40</v>
      </c>
      <c r="D21" s="123">
        <v>0.96</v>
      </c>
      <c r="E21" s="117">
        <f>C21*D21</f>
        <v>38.4</v>
      </c>
      <c r="F21" s="116">
        <f>E21*10.75</f>
        <v>412.8</v>
      </c>
      <c r="G21" s="116">
        <f>E21*7.75</f>
        <v>297.59999999999997</v>
      </c>
      <c r="H21" s="116">
        <f>E21*3.75</f>
        <v>144</v>
      </c>
      <c r="I21" s="116">
        <f>E21*4</f>
        <v>153.6</v>
      </c>
      <c r="J21" s="115">
        <f>E21*3</f>
        <v>115.19999999999999</v>
      </c>
      <c r="K21" s="114">
        <v>60</v>
      </c>
      <c r="L21" s="113">
        <f>120+60</f>
        <v>180</v>
      </c>
      <c r="M21" s="112">
        <v>60</v>
      </c>
      <c r="N21" s="111">
        <v>120</v>
      </c>
      <c r="O21" s="110">
        <v>120</v>
      </c>
      <c r="P21" s="109"/>
      <c r="Q21" s="108">
        <f>K21-H21</f>
        <v>-84</v>
      </c>
      <c r="R21" s="122">
        <v>694</v>
      </c>
      <c r="S21" s="106">
        <f>AP21</f>
        <v>391.3</v>
      </c>
      <c r="T21" s="106">
        <f>K21+M21+O21</f>
        <v>240</v>
      </c>
      <c r="U21" s="105">
        <f>(AL21+AM21-L21-M21-N21-O21-P21)/E21</f>
        <v>-9.6614583333333339</v>
      </c>
      <c r="V21" s="121"/>
      <c r="W21" s="103">
        <f>(R21-S21+K21+L21+AN21)/E21</f>
        <v>16.216145833333336</v>
      </c>
      <c r="X21" s="101" t="str">
        <f>IF(W21="","",IF(ROUND(W21,0)&lt;16,"ต้องเร่งเติม",IF(ROUND(W21,0)&lt;=32,"ปกติ","ไม่ต้องทำเพิ่ม")))</f>
        <v>ปกติ</v>
      </c>
      <c r="Y21" s="103">
        <f>(R21-S21-H21+K21+L21+M21+N21+AN21)/E21</f>
        <v>17.153645833333336</v>
      </c>
      <c r="Z21" s="101" t="str">
        <f>IF(Y21="","",IF(ROUND(Y21,0)&lt;16,"ต้องเร่งเติม",IF(ROUND(Y21,0)&lt;=32,"ปกติ","ไม่ต้องทำเพิ่ม")))</f>
        <v>ปกติ</v>
      </c>
      <c r="AA21" s="102">
        <f>(R21-S21-H21-I21+K21+L21+M21+N21+O21+P21+AN21)/E21</f>
        <v>16.278645833333336</v>
      </c>
      <c r="AB21" s="101" t="str">
        <f>IF(AA21="","",IF(ROUND(AA21,0)&lt;16,"ต้องเร่งเติม",IF(ROUND(AA21,0)&lt;=32,"ปกติ","ไม่ต้องทำเพิ่ม")))</f>
        <v>ปกติ</v>
      </c>
      <c r="AC21" s="99"/>
      <c r="AD21" s="98" t="s">
        <v>55</v>
      </c>
      <c r="AE21" s="100">
        <f>(K21+M21)-(H21+I21)</f>
        <v>-177.60000000000002</v>
      </c>
      <c r="AF21" s="99" t="s">
        <v>54</v>
      </c>
      <c r="AG21" s="98" t="s">
        <v>53</v>
      </c>
      <c r="AH21" s="99">
        <f>(K21+M21+O21)-(H21+I21+J21)</f>
        <v>-172.8</v>
      </c>
      <c r="AI21" s="99"/>
      <c r="AJ21" s="98"/>
      <c r="AK21" s="97" t="s">
        <v>52</v>
      </c>
      <c r="AL21" s="96">
        <v>109</v>
      </c>
      <c r="AM21" s="95"/>
      <c r="AN21" s="94">
        <v>80</v>
      </c>
      <c r="AO21" s="93">
        <v>0.91</v>
      </c>
      <c r="AP21" s="92">
        <f>(C21*AO21)*10.75</f>
        <v>391.3</v>
      </c>
      <c r="AQ21" s="92">
        <f>(E21*AO21)*7.75</f>
        <v>270.81600000000003</v>
      </c>
      <c r="AR21" s="92">
        <f>(E21*AO21)* 6</f>
        <v>209.66400000000002</v>
      </c>
      <c r="AS21" s="9"/>
      <c r="AT21" s="9"/>
    </row>
    <row r="22" spans="1:46" ht="23.25" customHeight="1" x14ac:dyDescent="0.25">
      <c r="A22" s="22"/>
      <c r="B22" s="120" t="s">
        <v>51</v>
      </c>
      <c r="C22" s="119">
        <v>46</v>
      </c>
      <c r="D22" s="118">
        <v>0.88</v>
      </c>
      <c r="E22" s="117">
        <f>C22*D22</f>
        <v>40.479999999999997</v>
      </c>
      <c r="F22" s="116">
        <f>E22*10.75</f>
        <v>435.15999999999997</v>
      </c>
      <c r="G22" s="116">
        <f>E22*7.75</f>
        <v>313.71999999999997</v>
      </c>
      <c r="H22" s="116">
        <f>E22*3.75</f>
        <v>151.79999999999998</v>
      </c>
      <c r="I22" s="116">
        <f>E22*4</f>
        <v>161.91999999999999</v>
      </c>
      <c r="J22" s="115">
        <f>E22*3</f>
        <v>121.44</v>
      </c>
      <c r="K22" s="114">
        <v>200</v>
      </c>
      <c r="L22" s="113"/>
      <c r="M22" s="112">
        <v>155</v>
      </c>
      <c r="N22" s="111"/>
      <c r="O22" s="110"/>
      <c r="P22" s="109"/>
      <c r="Q22" s="108">
        <f>K22-H22</f>
        <v>48.200000000000017</v>
      </c>
      <c r="R22" s="107">
        <v>729</v>
      </c>
      <c r="S22" s="106">
        <v>100</v>
      </c>
      <c r="T22" s="106">
        <f>K22+M22+O22</f>
        <v>355</v>
      </c>
      <c r="U22" s="105">
        <f>(AL22+AM22-L22-M22-N22-O22-P22)/E22</f>
        <v>0</v>
      </c>
      <c r="V22" s="104"/>
      <c r="W22" s="103">
        <f>(R22-S22+K22+L22+AN22)/E22</f>
        <v>20.479249011857711</v>
      </c>
      <c r="X22" s="101" t="str">
        <f>IF(W22="","",IF(ROUND(W22,0)&lt;16,"ต้องเร่งเติม",IF(ROUND(W22,0)&lt;=32,"ปกติ","ไม่ต้องทำเพิ่ม")))</f>
        <v>ปกติ</v>
      </c>
      <c r="Y22" s="103">
        <f>(R22-S22-H22+K22+L22+M22+N22+AN22)/E22</f>
        <v>20.558300395256921</v>
      </c>
      <c r="Z22" s="101" t="str">
        <f>IF(Y22="","",IF(ROUND(Y22,0)&lt;16,"ต้องเร่งเติม",IF(ROUND(Y22,0)&lt;=32,"ปกติ","ไม่ต้องทำเพิ่ม")))</f>
        <v>ปกติ</v>
      </c>
      <c r="AA22" s="102">
        <f>(R22-S22-H22-I22+K22+L22+M22+N22+O22+P22+AN22)/E22</f>
        <v>16.558300395256921</v>
      </c>
      <c r="AB22" s="101" t="str">
        <f>IF(AA22="","",IF(ROUND(AA22,0)&lt;16,"ต้องเร่งเติม",IF(ROUND(AA22,0)&lt;=32,"ปกติ","ไม่ต้องทำเพิ่ม")))</f>
        <v>ปกติ</v>
      </c>
      <c r="AC22" s="99"/>
      <c r="AD22" s="98" t="s">
        <v>50</v>
      </c>
      <c r="AE22" s="100">
        <f>(K22+M22)-(H22+I22)</f>
        <v>41.28000000000003</v>
      </c>
      <c r="AF22" s="99"/>
      <c r="AG22" s="98" t="s">
        <v>49</v>
      </c>
      <c r="AH22" s="99">
        <f>(K22+M22+O22)-(H22+I22+J22)</f>
        <v>-80.159999999999968</v>
      </c>
      <c r="AI22" s="99"/>
      <c r="AJ22" s="98"/>
      <c r="AK22" s="97" t="s">
        <v>48</v>
      </c>
      <c r="AL22" s="96">
        <v>155</v>
      </c>
      <c r="AM22" s="95"/>
      <c r="AN22" s="94"/>
      <c r="AO22" s="93">
        <v>0.71</v>
      </c>
      <c r="AP22" s="92">
        <f>(C22*AO22)*10.75</f>
        <v>351.09499999999997</v>
      </c>
      <c r="AQ22" s="92">
        <f>(E22*AO22)*7.75</f>
        <v>222.74119999999996</v>
      </c>
      <c r="AR22" s="92">
        <f>(E22*AO22)* 6</f>
        <v>172.44479999999999</v>
      </c>
      <c r="AS22" s="9"/>
      <c r="AT22" s="9"/>
    </row>
    <row r="23" spans="1:46" ht="21.6" x14ac:dyDescent="0.25">
      <c r="A23" s="7"/>
      <c r="B23" s="87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0"/>
      <c r="V23" s="11"/>
      <c r="W23" s="71"/>
      <c r="X23" s="88"/>
      <c r="Y23" s="89">
        <f>3/3</f>
        <v>1</v>
      </c>
      <c r="Z23" s="89"/>
      <c r="AA23" s="89">
        <f>11/11</f>
        <v>1</v>
      </c>
      <c r="AB23" s="88"/>
      <c r="AC23" s="11"/>
      <c r="AD23" s="11"/>
      <c r="AE23" s="11"/>
      <c r="AF23" s="11"/>
      <c r="AG23" s="11"/>
      <c r="AH23" s="11"/>
      <c r="AI23" s="11"/>
      <c r="AJ23" s="11"/>
      <c r="AK23" s="7"/>
      <c r="AL23" s="84"/>
      <c r="AM23" s="6"/>
      <c r="AN23" s="6"/>
      <c r="AO23" s="3"/>
      <c r="AP23" s="3"/>
      <c r="AQ23" s="3"/>
      <c r="AR23" s="3"/>
      <c r="AS23" s="3"/>
      <c r="AT23" s="9"/>
    </row>
    <row r="24" spans="1:46" ht="21.6" x14ac:dyDescent="0.25">
      <c r="A24" s="7"/>
      <c r="B24" s="87"/>
      <c r="C24" s="83"/>
      <c r="D24" s="86"/>
      <c r="E24" s="83"/>
      <c r="F24" s="83"/>
      <c r="G24" s="83"/>
      <c r="H24" s="83"/>
      <c r="I24" s="83"/>
      <c r="J24" s="16"/>
      <c r="K24" s="15"/>
      <c r="L24" s="1"/>
      <c r="M24" s="1"/>
      <c r="N24" s="23"/>
      <c r="O24" s="23"/>
      <c r="P24" s="23"/>
      <c r="Q24" s="15"/>
      <c r="R24" s="84"/>
      <c r="S24" s="13"/>
      <c r="T24" s="15"/>
      <c r="U24" s="85"/>
      <c r="V24" s="11"/>
      <c r="W24" s="71"/>
      <c r="X24" s="71"/>
      <c r="Y24" s="71"/>
      <c r="Z24" s="71"/>
      <c r="AA24" s="71"/>
      <c r="AB24" s="71"/>
      <c r="AC24" s="11"/>
      <c r="AD24" s="11"/>
      <c r="AE24" s="11"/>
      <c r="AF24" s="11"/>
      <c r="AG24" s="1"/>
      <c r="AH24" s="1"/>
      <c r="AI24" s="1"/>
      <c r="AJ24" s="1"/>
      <c r="AK24" s="7"/>
      <c r="AL24" s="84"/>
      <c r="AM24" s="6"/>
      <c r="AN24" s="6"/>
      <c r="AO24" s="3"/>
      <c r="AP24" s="60"/>
      <c r="AQ24" s="60"/>
      <c r="AR24" s="9"/>
      <c r="AS24" s="9"/>
      <c r="AT24" s="9"/>
    </row>
    <row r="25" spans="1:46" ht="21.6" x14ac:dyDescent="0.25">
      <c r="A25" s="17"/>
      <c r="B25" s="17"/>
      <c r="C25" s="15"/>
      <c r="D25" s="15"/>
      <c r="E25" s="16"/>
      <c r="F25" s="16"/>
      <c r="G25" s="16"/>
      <c r="H25" s="16"/>
      <c r="I25" s="16"/>
      <c r="J25" s="16"/>
      <c r="K25" s="1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0"/>
      <c r="X25" s="10"/>
      <c r="Y25" s="10"/>
      <c r="Z25" s="10"/>
      <c r="AA25" s="10"/>
      <c r="AB25" s="10"/>
      <c r="AC25" s="1"/>
      <c r="AD25" s="1"/>
      <c r="AE25" s="11"/>
      <c r="AF25" s="11"/>
      <c r="AG25" s="11"/>
      <c r="AH25" s="1"/>
      <c r="AI25" s="1"/>
      <c r="AJ25" s="1"/>
      <c r="AK25" s="7"/>
      <c r="AL25" s="84"/>
      <c r="AM25" s="6"/>
      <c r="AN25" s="6"/>
      <c r="AO25" s="3"/>
      <c r="AP25" s="60"/>
      <c r="AQ25" s="60"/>
      <c r="AR25" s="9"/>
      <c r="AS25" s="9"/>
      <c r="AT25" s="9"/>
    </row>
    <row r="26" spans="1:46" ht="21.6" x14ac:dyDescent="0.45">
      <c r="A26" s="82"/>
      <c r="B26" s="82"/>
      <c r="C26" s="15"/>
      <c r="D26" s="15"/>
      <c r="E26" s="16"/>
      <c r="F26" s="16"/>
      <c r="G26" s="16"/>
      <c r="H26" s="16"/>
      <c r="I26" s="16"/>
      <c r="J26" s="16"/>
      <c r="K26" s="15"/>
      <c r="L26" s="1"/>
      <c r="M26" s="1"/>
      <c r="N26" s="23"/>
      <c r="O26" s="23"/>
      <c r="P26" s="23"/>
      <c r="Q26" s="15"/>
      <c r="R26" s="84"/>
      <c r="S26" s="13"/>
      <c r="T26" s="15"/>
      <c r="U26" s="85"/>
      <c r="V26" s="11"/>
      <c r="W26" s="71"/>
      <c r="X26" s="71"/>
      <c r="Y26" s="71"/>
      <c r="Z26" s="71"/>
      <c r="AA26" s="71"/>
      <c r="AB26" s="71"/>
      <c r="AC26" s="11"/>
      <c r="AD26" s="11"/>
      <c r="AE26" s="11"/>
      <c r="AF26" s="11"/>
      <c r="AG26" s="11"/>
      <c r="AH26" s="1"/>
      <c r="AI26" s="1"/>
      <c r="AJ26" s="1"/>
      <c r="AK26" s="7"/>
      <c r="AL26" s="84"/>
      <c r="AM26" s="6"/>
      <c r="AN26" s="6"/>
      <c r="AO26" s="3"/>
      <c r="AP26" s="3"/>
      <c r="AQ26" s="3"/>
      <c r="AR26" s="9"/>
      <c r="AS26" s="9"/>
      <c r="AT26" s="9"/>
    </row>
    <row r="27" spans="1:46" ht="21.6" x14ac:dyDescent="0.45">
      <c r="A27" s="17"/>
      <c r="B27" s="17"/>
      <c r="C27" s="15"/>
      <c r="D27" s="15"/>
      <c r="E27" s="16"/>
      <c r="F27" s="16"/>
      <c r="G27" s="16"/>
      <c r="H27" s="83"/>
      <c r="I27" s="16"/>
      <c r="J27" s="16"/>
      <c r="K27" s="15"/>
      <c r="L27" s="15"/>
      <c r="M27" s="15"/>
      <c r="N27" s="14"/>
      <c r="O27" s="14"/>
      <c r="P27" s="14"/>
      <c r="Q27" s="13"/>
      <c r="R27" s="49" t="s">
        <v>47</v>
      </c>
      <c r="S27" s="13">
        <v>109</v>
      </c>
      <c r="T27" s="1"/>
      <c r="U27" s="12"/>
      <c r="V27" s="11"/>
      <c r="W27" s="71"/>
      <c r="X27" s="71"/>
      <c r="Y27" s="71"/>
      <c r="Z27" s="71"/>
      <c r="AA27" s="71"/>
      <c r="AB27" s="71"/>
      <c r="AC27" s="11"/>
      <c r="AG27" s="11"/>
      <c r="AH27" s="1"/>
      <c r="AI27" s="8"/>
      <c r="AJ27" s="1"/>
      <c r="AK27" s="49" t="s">
        <v>47</v>
      </c>
      <c r="AL27" s="49">
        <v>694</v>
      </c>
      <c r="AM27" s="6"/>
      <c r="AN27" s="4"/>
      <c r="AO27" s="61"/>
      <c r="AP27" s="61"/>
      <c r="AQ27" s="61"/>
      <c r="AR27" s="9"/>
      <c r="AS27" s="9"/>
      <c r="AT27" s="9"/>
    </row>
    <row r="28" spans="1:46" ht="21.6" x14ac:dyDescent="0.45">
      <c r="A28" s="82"/>
      <c r="B28" s="82"/>
      <c r="C28" s="15"/>
      <c r="D28" s="15"/>
      <c r="E28" s="16"/>
      <c r="F28" s="16"/>
      <c r="G28" s="16"/>
      <c r="H28" s="16"/>
      <c r="I28" s="16"/>
      <c r="J28" s="16"/>
      <c r="K28" s="15"/>
      <c r="L28" s="1"/>
      <c r="M28" s="1"/>
      <c r="N28" s="23"/>
      <c r="O28" s="23"/>
      <c r="P28" s="23"/>
      <c r="Q28" s="6"/>
      <c r="R28" s="49" t="s">
        <v>46</v>
      </c>
      <c r="S28" s="49">
        <v>155</v>
      </c>
      <c r="T28" s="1"/>
      <c r="U28" s="12"/>
      <c r="V28" s="11"/>
      <c r="W28" s="10"/>
      <c r="X28" s="10"/>
      <c r="Y28" s="10"/>
      <c r="Z28" s="10"/>
      <c r="AA28" s="10"/>
      <c r="AB28" s="10"/>
      <c r="AC28" s="1"/>
      <c r="AG28" s="1"/>
      <c r="AH28" s="1"/>
      <c r="AI28" s="8"/>
      <c r="AJ28" s="1"/>
      <c r="AK28" s="49" t="s">
        <v>46</v>
      </c>
      <c r="AL28" s="49">
        <v>729</v>
      </c>
      <c r="AM28" s="6"/>
      <c r="AN28" s="4"/>
      <c r="AO28" s="61"/>
      <c r="AP28" s="61"/>
      <c r="AQ28" s="61"/>
      <c r="AR28" s="9"/>
      <c r="AS28" s="9"/>
      <c r="AT28" s="9"/>
    </row>
    <row r="29" spans="1:46" ht="21.6" x14ac:dyDescent="0.45">
      <c r="A29" s="81"/>
      <c r="B29" s="80" t="s">
        <v>45</v>
      </c>
      <c r="C29" s="79" t="s">
        <v>44</v>
      </c>
      <c r="D29" s="79" t="s">
        <v>43</v>
      </c>
      <c r="E29" s="78" t="s">
        <v>42</v>
      </c>
      <c r="F29" s="77" t="s">
        <v>41</v>
      </c>
      <c r="G29" s="76" t="s">
        <v>40</v>
      </c>
      <c r="H29" s="75" t="s">
        <v>39</v>
      </c>
      <c r="I29" s="75" t="s">
        <v>38</v>
      </c>
      <c r="J29" s="75" t="s">
        <v>38</v>
      </c>
      <c r="K29" s="15"/>
      <c r="L29" s="1"/>
      <c r="M29" s="1"/>
      <c r="N29" s="23"/>
      <c r="O29" s="23"/>
      <c r="P29" s="23"/>
      <c r="Q29" s="13"/>
      <c r="R29" s="49"/>
      <c r="S29" s="49"/>
      <c r="T29" s="1"/>
      <c r="U29" s="12"/>
      <c r="V29" s="11"/>
      <c r="W29" s="10"/>
      <c r="X29" s="10"/>
      <c r="Y29" s="10"/>
      <c r="Z29" s="10"/>
      <c r="AA29" s="10"/>
      <c r="AB29" s="10"/>
      <c r="AC29" s="1"/>
      <c r="AG29" s="1"/>
      <c r="AH29" s="1"/>
      <c r="AI29" s="8"/>
      <c r="AJ29" s="1"/>
      <c r="AK29" s="49"/>
      <c r="AL29" s="49"/>
      <c r="AM29" s="6"/>
      <c r="AN29" s="4"/>
      <c r="AO29" s="61"/>
      <c r="AP29" s="61"/>
      <c r="AQ29" s="61"/>
      <c r="AR29" s="9"/>
      <c r="AS29" s="9"/>
      <c r="AT29" s="9"/>
    </row>
    <row r="30" spans="1:46" ht="21.6" x14ac:dyDescent="0.45">
      <c r="A30" s="54" t="s">
        <v>37</v>
      </c>
      <c r="B30" s="32" t="s">
        <v>3</v>
      </c>
      <c r="C30" s="35" t="s">
        <v>2</v>
      </c>
      <c r="D30" s="35" t="s">
        <v>31</v>
      </c>
      <c r="E30" s="18">
        <v>11</v>
      </c>
      <c r="F30" s="20">
        <v>60</v>
      </c>
      <c r="G30" s="20"/>
      <c r="H30" s="18"/>
      <c r="I30" s="19"/>
      <c r="J30" s="20">
        <v>60</v>
      </c>
      <c r="K30" s="73"/>
      <c r="L30" s="1"/>
      <c r="M30" s="1"/>
      <c r="N30" s="23"/>
      <c r="O30" s="23"/>
      <c r="P30" s="23"/>
      <c r="Q30" s="13"/>
      <c r="R30" s="49" t="s">
        <v>36</v>
      </c>
      <c r="S30" s="49">
        <v>360</v>
      </c>
      <c r="T30" s="1"/>
      <c r="U30" s="12"/>
      <c r="V30" s="11"/>
      <c r="W30" s="10"/>
      <c r="X30" s="10"/>
      <c r="Y30" s="10"/>
      <c r="Z30" s="71"/>
      <c r="AA30" s="71"/>
      <c r="AB30" s="71"/>
      <c r="AC30" s="11"/>
      <c r="AD30" s="11"/>
      <c r="AE30" s="1"/>
      <c r="AF30" s="1"/>
      <c r="AG30" s="1"/>
      <c r="AH30" s="1"/>
      <c r="AI30" s="8"/>
      <c r="AJ30" s="1"/>
      <c r="AK30" s="49" t="s">
        <v>36</v>
      </c>
      <c r="AL30" s="49">
        <v>1038</v>
      </c>
      <c r="AM30" s="6"/>
      <c r="AN30" s="4"/>
      <c r="AO30" s="61"/>
      <c r="AP30" s="61"/>
      <c r="AQ30" s="61"/>
      <c r="AR30" s="9"/>
      <c r="AS30" s="9"/>
      <c r="AT30" s="9"/>
    </row>
    <row r="31" spans="1:46" ht="21.6" x14ac:dyDescent="0.45">
      <c r="A31" s="41">
        <f>SUM(F30:F41)</f>
        <v>726</v>
      </c>
      <c r="B31" s="26"/>
      <c r="C31" s="26"/>
      <c r="D31" s="26"/>
      <c r="E31" s="18">
        <v>12</v>
      </c>
      <c r="F31" s="20">
        <v>180</v>
      </c>
      <c r="G31" s="20"/>
      <c r="H31" s="18"/>
      <c r="I31" s="19"/>
      <c r="J31" s="20">
        <v>180</v>
      </c>
      <c r="K31" s="15"/>
      <c r="L31" s="16"/>
      <c r="M31" s="16"/>
      <c r="Q31" s="13"/>
      <c r="R31" s="49" t="s">
        <v>35</v>
      </c>
      <c r="S31" s="49">
        <v>310</v>
      </c>
      <c r="T31" s="1"/>
      <c r="U31" s="12"/>
      <c r="V31" s="11"/>
      <c r="W31" s="10"/>
      <c r="X31" s="10"/>
      <c r="Y31" s="10"/>
      <c r="Z31" s="71"/>
      <c r="AA31" s="71"/>
      <c r="AB31" s="71"/>
      <c r="AC31" s="11"/>
      <c r="AD31" s="11"/>
      <c r="AE31" s="1"/>
      <c r="AF31" s="1"/>
      <c r="AG31" s="1"/>
      <c r="AH31" s="1"/>
      <c r="AI31" s="8"/>
      <c r="AJ31" s="1"/>
      <c r="AK31" s="49" t="s">
        <v>35</v>
      </c>
      <c r="AL31" s="49">
        <v>998</v>
      </c>
      <c r="AM31" s="6"/>
      <c r="AN31" s="4"/>
      <c r="AO31" s="61"/>
      <c r="AP31" s="61"/>
      <c r="AQ31" s="61"/>
      <c r="AR31" s="9"/>
      <c r="AS31" s="9"/>
      <c r="AT31" s="9"/>
    </row>
    <row r="32" spans="1:46" ht="21.6" x14ac:dyDescent="0.45">
      <c r="A32" s="41"/>
      <c r="B32" s="26"/>
      <c r="C32" s="26"/>
      <c r="D32" s="26"/>
      <c r="E32" s="18">
        <v>13</v>
      </c>
      <c r="F32" s="20">
        <v>180</v>
      </c>
      <c r="G32" s="20"/>
      <c r="H32" s="18"/>
      <c r="I32" s="19"/>
      <c r="J32" s="20">
        <v>180</v>
      </c>
      <c r="K32" s="15"/>
      <c r="L32" s="16"/>
      <c r="M32" s="16"/>
      <c r="Q32" s="13"/>
      <c r="R32" s="49"/>
      <c r="S32" s="49"/>
      <c r="T32" s="1"/>
      <c r="U32" s="12"/>
      <c r="V32" s="11"/>
      <c r="W32" s="10"/>
      <c r="X32" s="10"/>
      <c r="Y32" s="10"/>
      <c r="Z32" s="71"/>
      <c r="AA32" s="71"/>
      <c r="AB32" s="71"/>
      <c r="AC32" s="11"/>
      <c r="AD32" s="11"/>
      <c r="AE32" s="1"/>
      <c r="AF32" s="1"/>
      <c r="AG32" s="1"/>
      <c r="AH32" s="1"/>
      <c r="AI32" s="8"/>
      <c r="AJ32" s="1"/>
      <c r="AK32" s="49"/>
      <c r="AL32" s="49"/>
      <c r="AM32" s="6"/>
      <c r="AN32" s="4"/>
      <c r="AO32" s="61"/>
      <c r="AP32" s="61"/>
      <c r="AQ32" s="61"/>
      <c r="AR32" s="9"/>
      <c r="AS32" s="9"/>
      <c r="AT32" s="9"/>
    </row>
    <row r="33" spans="1:46" ht="21.6" x14ac:dyDescent="0.45">
      <c r="A33" s="41"/>
      <c r="B33" s="22"/>
      <c r="C33" s="22"/>
      <c r="D33" s="22"/>
      <c r="E33" s="18"/>
      <c r="F33" s="20"/>
      <c r="G33" s="20"/>
      <c r="H33" s="18"/>
      <c r="I33" s="19"/>
      <c r="J33" s="20"/>
      <c r="K33" s="15"/>
      <c r="L33" s="16"/>
      <c r="M33" s="16"/>
      <c r="Q33" s="13"/>
      <c r="R33" s="49"/>
      <c r="S33" s="49"/>
      <c r="T33" s="1"/>
      <c r="U33" s="12"/>
      <c r="V33" s="11"/>
      <c r="W33" s="10"/>
      <c r="X33" s="10"/>
      <c r="Y33" s="10"/>
      <c r="Z33" s="71"/>
      <c r="AA33" s="71"/>
      <c r="AB33" s="71"/>
      <c r="AC33" s="11"/>
      <c r="AD33" s="11"/>
      <c r="AE33" s="1"/>
      <c r="AF33" s="1"/>
      <c r="AG33" s="1"/>
      <c r="AH33" s="1"/>
      <c r="AI33" s="8"/>
      <c r="AJ33" s="1"/>
      <c r="AK33" s="49"/>
      <c r="AL33" s="49"/>
      <c r="AM33" s="6"/>
      <c r="AN33" s="4"/>
      <c r="AO33" s="61"/>
      <c r="AP33" s="61"/>
      <c r="AQ33" s="61"/>
      <c r="AR33" s="9"/>
      <c r="AS33" s="9"/>
      <c r="AT33" s="9"/>
    </row>
    <row r="34" spans="1:46" ht="21.6" x14ac:dyDescent="0.45">
      <c r="A34" s="41"/>
      <c r="B34" s="36" t="s">
        <v>5</v>
      </c>
      <c r="C34" s="35" t="s">
        <v>4</v>
      </c>
      <c r="D34" s="30" t="s">
        <v>31</v>
      </c>
      <c r="E34" s="38">
        <v>8</v>
      </c>
      <c r="F34" s="20">
        <v>160</v>
      </c>
      <c r="G34" s="20"/>
      <c r="H34" s="18"/>
      <c r="I34" s="19"/>
      <c r="J34" s="20">
        <v>160</v>
      </c>
      <c r="K34" s="15"/>
      <c r="L34" s="16"/>
      <c r="M34" s="16"/>
      <c r="Q34" s="13"/>
      <c r="R34" s="49" t="s">
        <v>34</v>
      </c>
      <c r="S34" s="49">
        <v>330</v>
      </c>
      <c r="T34" s="1"/>
      <c r="U34" s="12"/>
      <c r="V34" s="11"/>
      <c r="W34" s="10"/>
      <c r="X34" s="10"/>
      <c r="Y34" s="10"/>
      <c r="Z34" s="71"/>
      <c r="AA34" s="71"/>
      <c r="AB34" s="71"/>
      <c r="AC34" s="11"/>
      <c r="AD34" s="11"/>
      <c r="AE34" s="1"/>
      <c r="AF34" s="1"/>
      <c r="AG34" s="1"/>
      <c r="AH34" s="1"/>
      <c r="AI34" s="8"/>
      <c r="AJ34" s="1"/>
      <c r="AK34" s="49" t="s">
        <v>34</v>
      </c>
      <c r="AL34" s="49">
        <v>745</v>
      </c>
      <c r="AM34" s="6"/>
      <c r="AN34" s="4"/>
      <c r="AO34" s="61"/>
      <c r="AP34" s="61"/>
      <c r="AQ34" s="61"/>
      <c r="AR34" s="9"/>
      <c r="AS34" s="9"/>
      <c r="AT34" s="9"/>
    </row>
    <row r="35" spans="1:46" ht="21.6" x14ac:dyDescent="0.45">
      <c r="A35" s="41"/>
      <c r="B35" s="34"/>
      <c r="C35" s="26"/>
      <c r="D35" s="24"/>
      <c r="E35" s="38">
        <v>9</v>
      </c>
      <c r="F35" s="20">
        <v>12</v>
      </c>
      <c r="G35" s="74"/>
      <c r="H35" s="74"/>
      <c r="I35" s="74"/>
      <c r="J35" s="20">
        <v>12</v>
      </c>
      <c r="K35" s="15"/>
      <c r="N35" s="16"/>
      <c r="O35" s="16"/>
      <c r="P35" s="16"/>
      <c r="Q35" s="6"/>
      <c r="R35" s="49" t="s">
        <v>33</v>
      </c>
      <c r="S35" s="49">
        <v>620</v>
      </c>
      <c r="T35" s="1"/>
      <c r="U35" s="12"/>
      <c r="V35" s="11"/>
      <c r="W35" s="10"/>
      <c r="X35" s="10"/>
      <c r="Y35" s="10"/>
      <c r="Z35" s="71"/>
      <c r="AA35" s="71"/>
      <c r="AB35" s="71"/>
      <c r="AC35" s="11"/>
      <c r="AD35" s="11"/>
      <c r="AE35" s="1"/>
      <c r="AF35" s="1"/>
      <c r="AG35" s="1"/>
      <c r="AH35" s="1"/>
      <c r="AI35" s="8"/>
      <c r="AJ35" s="1"/>
      <c r="AK35" s="49" t="s">
        <v>33</v>
      </c>
      <c r="AL35" s="49">
        <v>1151</v>
      </c>
      <c r="AM35" s="6"/>
      <c r="AN35" s="4"/>
      <c r="AO35" s="61"/>
      <c r="AP35" s="61"/>
      <c r="AQ35" s="61"/>
      <c r="AR35" s="9"/>
      <c r="AS35" s="9"/>
      <c r="AT35" s="9"/>
    </row>
    <row r="36" spans="1:46" ht="21.6" x14ac:dyDescent="0.45">
      <c r="A36" s="41"/>
      <c r="B36" s="33"/>
      <c r="C36" s="22"/>
      <c r="D36" s="72"/>
      <c r="E36" s="38">
        <v>10</v>
      </c>
      <c r="F36" s="20">
        <v>14</v>
      </c>
      <c r="G36" s="74"/>
      <c r="H36" s="74"/>
      <c r="I36" s="74"/>
      <c r="J36" s="20">
        <v>14</v>
      </c>
      <c r="K36" s="15"/>
      <c r="N36" s="16"/>
      <c r="O36" s="16"/>
      <c r="P36" s="16"/>
      <c r="Q36" s="6"/>
      <c r="R36" s="49" t="s">
        <v>32</v>
      </c>
      <c r="S36" s="49">
        <v>626</v>
      </c>
      <c r="T36" s="1"/>
      <c r="U36" s="12"/>
      <c r="V36" s="11"/>
      <c r="W36" s="10"/>
      <c r="X36" s="10"/>
      <c r="Y36" s="10"/>
      <c r="Z36" s="71"/>
      <c r="AA36" s="71"/>
      <c r="AB36" s="71"/>
      <c r="AC36" s="11"/>
      <c r="AD36" s="11"/>
      <c r="AE36" s="1"/>
      <c r="AF36" s="1"/>
      <c r="AG36" s="1"/>
      <c r="AH36" s="1"/>
      <c r="AI36" s="8"/>
      <c r="AJ36" s="1"/>
      <c r="AK36" s="49" t="s">
        <v>32</v>
      </c>
      <c r="AL36" s="49">
        <v>565</v>
      </c>
      <c r="AM36" s="6"/>
      <c r="AN36" s="4"/>
      <c r="AO36" s="61"/>
      <c r="AP36" s="61"/>
      <c r="AQ36" s="61"/>
      <c r="AR36" s="9"/>
      <c r="AS36" s="9"/>
      <c r="AT36" s="9"/>
    </row>
    <row r="37" spans="1:46" ht="21.6" x14ac:dyDescent="0.45">
      <c r="A37" s="41"/>
      <c r="B37" s="36" t="s">
        <v>7</v>
      </c>
      <c r="C37" s="35" t="s">
        <v>6</v>
      </c>
      <c r="D37" s="30" t="s">
        <v>31</v>
      </c>
      <c r="E37" s="38">
        <v>4</v>
      </c>
      <c r="F37" s="20">
        <v>120</v>
      </c>
      <c r="G37" s="20"/>
      <c r="H37" s="43"/>
      <c r="I37" s="44"/>
      <c r="J37" s="20">
        <v>120</v>
      </c>
      <c r="K37" s="73"/>
      <c r="N37" s="16"/>
      <c r="O37" s="16"/>
      <c r="P37" s="16"/>
      <c r="Q37" s="6"/>
      <c r="R37" s="49" t="s">
        <v>30</v>
      </c>
      <c r="S37" s="49">
        <v>324</v>
      </c>
      <c r="T37" s="1"/>
      <c r="U37" s="12"/>
      <c r="V37" s="11"/>
      <c r="W37" s="10"/>
      <c r="X37" s="10"/>
      <c r="Y37" s="10"/>
      <c r="Z37" s="71"/>
      <c r="AA37" s="71"/>
      <c r="AB37" s="71"/>
      <c r="AC37" s="11"/>
      <c r="AD37" s="11"/>
      <c r="AE37" s="1"/>
      <c r="AF37" s="1"/>
      <c r="AG37" s="1"/>
      <c r="AH37" s="1"/>
      <c r="AI37" s="8"/>
      <c r="AJ37" s="1"/>
      <c r="AK37" s="49" t="s">
        <v>30</v>
      </c>
      <c r="AL37" s="49">
        <v>876</v>
      </c>
      <c r="AM37" s="6"/>
      <c r="AN37" s="4"/>
      <c r="AO37" s="61"/>
      <c r="AP37" s="61"/>
      <c r="AQ37" s="61"/>
      <c r="AR37" s="9"/>
      <c r="AS37" s="9"/>
      <c r="AT37" s="9"/>
    </row>
    <row r="38" spans="1:46" ht="21.6" x14ac:dyDescent="0.45">
      <c r="A38" s="41"/>
      <c r="B38" s="34"/>
      <c r="C38" s="26"/>
      <c r="D38" s="24"/>
      <c r="E38" s="38"/>
      <c r="F38" s="20"/>
      <c r="G38" s="20"/>
      <c r="H38" s="43"/>
      <c r="I38" s="42"/>
      <c r="J38" s="20"/>
      <c r="K38" s="73"/>
      <c r="N38" s="16"/>
      <c r="O38" s="16"/>
      <c r="P38" s="16"/>
      <c r="Q38" s="6"/>
      <c r="R38" s="49"/>
      <c r="S38" s="49"/>
      <c r="T38" s="1"/>
      <c r="U38" s="12"/>
      <c r="V38" s="11"/>
      <c r="W38" s="10"/>
      <c r="X38" s="10"/>
      <c r="Y38" s="10"/>
      <c r="Z38" s="71"/>
      <c r="AA38" s="71"/>
      <c r="AB38" s="71"/>
      <c r="AC38" s="11"/>
      <c r="AD38" s="11"/>
      <c r="AE38" s="1"/>
      <c r="AF38" s="1"/>
      <c r="AG38" s="1"/>
      <c r="AH38" s="1"/>
      <c r="AI38" s="8"/>
      <c r="AJ38" s="1"/>
      <c r="AK38" s="49"/>
      <c r="AL38" s="49"/>
      <c r="AM38" s="6"/>
      <c r="AN38" s="4"/>
      <c r="AO38" s="61"/>
      <c r="AP38" s="61"/>
      <c r="AQ38" s="61"/>
      <c r="AR38" s="9"/>
      <c r="AS38" s="9"/>
      <c r="AT38" s="9"/>
    </row>
    <row r="39" spans="1:46" ht="21.6" x14ac:dyDescent="0.45">
      <c r="A39" s="41"/>
      <c r="B39" s="33"/>
      <c r="C39" s="22"/>
      <c r="D39" s="72"/>
      <c r="E39" s="16"/>
      <c r="F39" s="20"/>
      <c r="G39" s="20"/>
      <c r="H39" s="18"/>
      <c r="I39" s="19"/>
      <c r="J39" s="20"/>
      <c r="K39" s="15"/>
      <c r="Q39" s="6"/>
      <c r="R39" s="49" t="s">
        <v>29</v>
      </c>
      <c r="S39" s="49">
        <v>360</v>
      </c>
      <c r="T39" s="1"/>
      <c r="U39" s="12"/>
      <c r="V39" s="11"/>
      <c r="W39" s="10"/>
      <c r="X39" s="10"/>
      <c r="Y39" s="10"/>
      <c r="Z39" s="71"/>
      <c r="AA39" s="71"/>
      <c r="AB39" s="71"/>
      <c r="AC39" s="11"/>
      <c r="AD39" s="11"/>
      <c r="AE39" s="1"/>
      <c r="AF39" s="1"/>
      <c r="AG39" s="1"/>
      <c r="AH39" s="1"/>
      <c r="AI39" s="8"/>
      <c r="AJ39" s="1"/>
      <c r="AK39" s="49" t="s">
        <v>29</v>
      </c>
      <c r="AL39" s="49">
        <v>981</v>
      </c>
      <c r="AM39" s="6"/>
      <c r="AN39" s="4"/>
      <c r="AO39" s="61"/>
      <c r="AP39" s="61"/>
      <c r="AQ39" s="61"/>
      <c r="AR39" s="9"/>
      <c r="AS39" s="9"/>
      <c r="AT39" s="9"/>
    </row>
    <row r="40" spans="1:46" ht="21.6" x14ac:dyDescent="0.45">
      <c r="A40" s="41"/>
      <c r="B40" s="36"/>
      <c r="C40" s="35"/>
      <c r="D40" s="63"/>
      <c r="E40" s="18"/>
      <c r="F40" s="20"/>
      <c r="G40" s="20"/>
      <c r="H40" s="18"/>
      <c r="I40" s="19"/>
      <c r="J40" s="20"/>
      <c r="K40" s="15"/>
      <c r="N40" s="16"/>
      <c r="O40" s="16"/>
      <c r="P40" s="16"/>
      <c r="Q40" s="6"/>
      <c r="R40" s="49" t="s">
        <v>28</v>
      </c>
      <c r="S40" s="49">
        <v>187</v>
      </c>
      <c r="T40" s="1"/>
      <c r="U40" s="12"/>
      <c r="V40" s="11"/>
      <c r="W40" s="10"/>
      <c r="X40" s="10"/>
      <c r="Y40" s="10"/>
      <c r="Z40" s="71"/>
      <c r="AA40" s="71"/>
      <c r="AB40" s="71"/>
      <c r="AC40" s="11"/>
      <c r="AD40" s="11"/>
      <c r="AE40" s="1"/>
      <c r="AF40" s="1"/>
      <c r="AG40" s="1"/>
      <c r="AH40" s="1"/>
      <c r="AI40" s="8"/>
      <c r="AJ40" s="1"/>
      <c r="AK40" s="49" t="s">
        <v>28</v>
      </c>
      <c r="AL40" s="49">
        <v>842</v>
      </c>
      <c r="AM40" s="6"/>
      <c r="AN40" s="4"/>
      <c r="AO40" s="61"/>
      <c r="AP40" s="61"/>
      <c r="AQ40" s="61"/>
      <c r="AR40" s="9"/>
      <c r="AS40" s="9"/>
      <c r="AT40" s="9"/>
    </row>
    <row r="41" spans="1:46" ht="21.6" x14ac:dyDescent="0.45">
      <c r="A41" s="27"/>
      <c r="B41" s="33"/>
      <c r="C41" s="22"/>
      <c r="D41" s="70"/>
      <c r="E41" s="18"/>
      <c r="F41" s="20"/>
      <c r="G41" s="20"/>
      <c r="H41" s="18"/>
      <c r="I41" s="19"/>
      <c r="J41" s="20"/>
      <c r="K41" s="10"/>
      <c r="L41" s="16"/>
      <c r="M41" s="16"/>
      <c r="N41" s="16"/>
      <c r="O41" s="16"/>
      <c r="P41" s="16"/>
      <c r="Q41" s="6"/>
      <c r="R41" s="49" t="s">
        <v>27</v>
      </c>
      <c r="S41" s="49">
        <v>720</v>
      </c>
      <c r="T41" s="1"/>
      <c r="U41" s="12"/>
      <c r="V41" s="11"/>
      <c r="W41" s="10"/>
      <c r="X41" s="10"/>
      <c r="Y41" s="10"/>
      <c r="Z41" s="10"/>
      <c r="AA41" s="10"/>
      <c r="AB41" s="10"/>
      <c r="AC41" s="1"/>
      <c r="AD41" s="1"/>
      <c r="AE41" s="1"/>
      <c r="AF41" s="1"/>
      <c r="AG41" s="1"/>
      <c r="AH41" s="1"/>
      <c r="AI41" s="8"/>
      <c r="AJ41" s="1"/>
      <c r="AK41" s="49" t="s">
        <v>27</v>
      </c>
      <c r="AL41" s="49">
        <v>664</v>
      </c>
      <c r="AM41" s="6"/>
      <c r="AN41" s="4"/>
      <c r="AO41" s="61"/>
      <c r="AP41" s="61"/>
      <c r="AQ41" s="61"/>
      <c r="AR41" s="9"/>
      <c r="AS41" s="9"/>
      <c r="AT41" s="9"/>
    </row>
    <row r="42" spans="1:46" ht="21.6" x14ac:dyDescent="0.45">
      <c r="A42" s="69"/>
      <c r="B42" s="68"/>
      <c r="C42" s="66"/>
      <c r="D42" s="67"/>
      <c r="E42" s="67"/>
      <c r="F42" s="67"/>
      <c r="G42" s="67"/>
      <c r="H42" s="67"/>
      <c r="I42" s="67"/>
      <c r="J42" s="66"/>
      <c r="K42" s="10"/>
      <c r="L42" s="15"/>
      <c r="M42" s="15"/>
      <c r="N42" s="14"/>
      <c r="O42" s="14"/>
      <c r="P42" s="14"/>
      <c r="Q42" s="6"/>
      <c r="R42" s="49" t="s">
        <v>26</v>
      </c>
      <c r="S42" s="49">
        <v>700</v>
      </c>
      <c r="T42" s="1"/>
      <c r="U42" s="12"/>
      <c r="V42" s="11"/>
      <c r="W42" s="10"/>
      <c r="X42" s="10"/>
      <c r="Y42" s="10"/>
      <c r="Z42" s="10"/>
      <c r="AA42" s="10"/>
      <c r="AB42" s="10"/>
      <c r="AC42" s="1"/>
      <c r="AD42" s="1"/>
      <c r="AE42" s="1"/>
      <c r="AF42" s="9"/>
      <c r="AH42" s="1"/>
      <c r="AI42" s="8"/>
      <c r="AJ42" s="1"/>
      <c r="AK42" s="49" t="s">
        <v>26</v>
      </c>
      <c r="AL42" s="49">
        <v>960</v>
      </c>
      <c r="AM42" s="6"/>
      <c r="AN42" s="5"/>
      <c r="AO42" s="61"/>
      <c r="AP42" s="60"/>
      <c r="AQ42" s="60"/>
      <c r="AR42" s="9"/>
      <c r="AS42" s="9"/>
      <c r="AT42" s="9"/>
    </row>
    <row r="43" spans="1:46" ht="21.6" x14ac:dyDescent="0.45">
      <c r="A43" s="39" t="s">
        <v>25</v>
      </c>
      <c r="B43" s="65" t="s">
        <v>24</v>
      </c>
      <c r="C43" s="64" t="s">
        <v>23</v>
      </c>
      <c r="D43" s="63" t="s">
        <v>22</v>
      </c>
      <c r="E43" s="18">
        <v>6</v>
      </c>
      <c r="F43" s="20">
        <v>30</v>
      </c>
      <c r="G43" s="20"/>
      <c r="H43" s="19"/>
      <c r="I43" s="19">
        <v>30</v>
      </c>
      <c r="J43" s="20"/>
      <c r="K43" s="50"/>
      <c r="L43" s="50"/>
      <c r="M43" s="50"/>
      <c r="N43" s="50"/>
      <c r="O43" s="50"/>
      <c r="P43" s="50"/>
      <c r="Q43" s="6"/>
      <c r="R43" s="49" t="s">
        <v>21</v>
      </c>
      <c r="S43" s="49">
        <v>597</v>
      </c>
      <c r="T43" s="1"/>
      <c r="U43" s="12"/>
      <c r="V43" s="11"/>
      <c r="W43" s="10"/>
      <c r="X43" s="10"/>
      <c r="Y43" s="10"/>
      <c r="Z43" s="10"/>
      <c r="AA43" s="10"/>
      <c r="AB43" s="10"/>
      <c r="AC43" s="1"/>
      <c r="AD43" s="1"/>
      <c r="AE43" s="1"/>
      <c r="AF43" s="9"/>
      <c r="AH43" s="1"/>
      <c r="AI43" s="8"/>
      <c r="AJ43" s="1"/>
      <c r="AK43" s="49" t="s">
        <v>21</v>
      </c>
      <c r="AL43" s="49">
        <v>666</v>
      </c>
      <c r="AM43" s="6"/>
      <c r="AN43" s="4"/>
      <c r="AO43" s="61"/>
      <c r="AP43" s="60"/>
      <c r="AQ43" s="60"/>
      <c r="AR43" s="9"/>
      <c r="AS43" s="9"/>
      <c r="AT43" s="9"/>
    </row>
    <row r="44" spans="1:46" ht="21.6" x14ac:dyDescent="0.45">
      <c r="A44" s="41"/>
      <c r="B44" s="28"/>
      <c r="C44" s="26"/>
      <c r="D44" s="28"/>
      <c r="E44" s="18">
        <v>7</v>
      </c>
      <c r="F44" s="20">
        <v>8</v>
      </c>
      <c r="G44" s="20"/>
      <c r="H44" s="19"/>
      <c r="I44" s="19">
        <v>8</v>
      </c>
      <c r="J44" s="20"/>
      <c r="K44" s="50"/>
      <c r="L44" s="50"/>
      <c r="M44" s="50"/>
      <c r="N44" s="50"/>
      <c r="O44" s="50"/>
      <c r="P44" s="50"/>
      <c r="Q44" s="6"/>
      <c r="R44" s="49"/>
      <c r="S44" s="49"/>
      <c r="T44" s="1"/>
      <c r="U44" s="12"/>
      <c r="V44" s="11"/>
      <c r="W44" s="10"/>
      <c r="X44" s="10"/>
      <c r="Y44" s="10"/>
      <c r="Z44" s="10"/>
      <c r="AA44" s="10"/>
      <c r="AB44" s="10"/>
      <c r="AC44" s="1"/>
      <c r="AD44" s="1"/>
      <c r="AE44" s="1"/>
      <c r="AF44" s="9"/>
      <c r="AH44" s="1"/>
      <c r="AI44" s="8"/>
      <c r="AJ44" s="1"/>
      <c r="AK44" s="49" t="s">
        <v>20</v>
      </c>
      <c r="AL44" s="49">
        <v>601</v>
      </c>
      <c r="AM44" s="6"/>
      <c r="AN44" s="4"/>
      <c r="AO44" s="61"/>
      <c r="AP44" s="60"/>
      <c r="AQ44" s="60"/>
      <c r="AR44" s="9"/>
      <c r="AS44" s="9"/>
      <c r="AT44" s="9"/>
    </row>
    <row r="45" spans="1:46" ht="21.6" x14ac:dyDescent="0.45">
      <c r="A45" s="41">
        <f>SUM(F43:F46)</f>
        <v>478</v>
      </c>
      <c r="B45" s="17"/>
      <c r="C45" s="62" t="s">
        <v>19</v>
      </c>
      <c r="D45" s="16"/>
      <c r="E45" s="18">
        <v>1</v>
      </c>
      <c r="F45" s="20">
        <v>440</v>
      </c>
      <c r="G45" s="20"/>
      <c r="H45" s="19"/>
      <c r="I45" s="20">
        <v>440</v>
      </c>
      <c r="J45" s="20"/>
      <c r="K45" s="50"/>
      <c r="L45" s="50"/>
      <c r="M45" s="50"/>
      <c r="N45" s="50"/>
      <c r="O45" s="50"/>
      <c r="P45" s="50"/>
      <c r="Q45" s="6"/>
      <c r="R45" s="49" t="s">
        <v>18</v>
      </c>
      <c r="S45" s="49">
        <v>263</v>
      </c>
      <c r="T45" s="1"/>
      <c r="U45" s="12"/>
      <c r="W45" s="10"/>
      <c r="X45" s="10"/>
      <c r="Y45" s="10"/>
      <c r="Z45" s="10"/>
      <c r="AA45" s="10"/>
      <c r="AB45" s="10"/>
      <c r="AC45" s="1"/>
      <c r="AD45" s="1"/>
      <c r="AE45" s="1"/>
      <c r="AF45" s="9"/>
      <c r="AH45" s="1"/>
      <c r="AI45" s="8"/>
      <c r="AJ45" s="1"/>
      <c r="AK45" s="49" t="s">
        <v>18</v>
      </c>
      <c r="AL45" s="49">
        <v>231</v>
      </c>
      <c r="AM45" s="6"/>
      <c r="AN45" s="4"/>
      <c r="AO45" s="61"/>
      <c r="AP45" s="60"/>
      <c r="AQ45" s="60"/>
      <c r="AR45" s="9"/>
      <c r="AS45" s="9"/>
      <c r="AT45" s="9"/>
    </row>
    <row r="46" spans="1:46" ht="21.6" x14ac:dyDescent="0.45">
      <c r="A46" s="41">
        <f>SUM(H43:I46)</f>
        <v>478</v>
      </c>
      <c r="B46" s="17"/>
      <c r="C46" s="62"/>
      <c r="D46" s="16"/>
      <c r="E46" s="18"/>
      <c r="F46" s="20"/>
      <c r="G46" s="20"/>
      <c r="H46" s="18"/>
      <c r="I46" s="20"/>
      <c r="J46" s="20"/>
      <c r="K46" s="50"/>
      <c r="L46" s="50"/>
      <c r="M46" s="50"/>
      <c r="N46" s="50"/>
      <c r="O46" s="50"/>
      <c r="P46" s="50"/>
      <c r="Q46" s="6"/>
      <c r="R46" s="49" t="s">
        <v>17</v>
      </c>
      <c r="S46" s="49">
        <v>1000</v>
      </c>
      <c r="T46" s="1"/>
      <c r="U46" s="12"/>
      <c r="V46" s="11"/>
      <c r="W46" s="10"/>
      <c r="X46" s="10"/>
      <c r="Y46" s="10"/>
      <c r="Z46" s="10"/>
      <c r="AA46" s="10"/>
      <c r="AB46" s="10"/>
      <c r="AC46" s="1"/>
      <c r="AD46" s="1"/>
      <c r="AE46" s="1"/>
      <c r="AF46" s="9"/>
      <c r="AH46" s="1"/>
      <c r="AI46" s="8"/>
      <c r="AJ46" s="1"/>
      <c r="AK46" s="49" t="s">
        <v>17</v>
      </c>
      <c r="AL46" s="49">
        <v>1116</v>
      </c>
      <c r="AM46" s="6"/>
      <c r="AN46" s="4"/>
      <c r="AO46" s="61"/>
      <c r="AP46" s="60"/>
      <c r="AQ46" s="60"/>
      <c r="AR46" s="9"/>
      <c r="AS46" s="9"/>
      <c r="AT46" s="9"/>
    </row>
    <row r="47" spans="1:46" ht="21.6" x14ac:dyDescent="0.45">
      <c r="A47" s="59"/>
      <c r="B47" s="59"/>
      <c r="C47" s="59"/>
      <c r="D47" s="57"/>
      <c r="E47" s="47"/>
      <c r="F47" s="47"/>
      <c r="G47" s="47"/>
      <c r="H47" s="47"/>
      <c r="I47" s="47"/>
      <c r="J47" s="58"/>
      <c r="K47" s="37"/>
      <c r="L47" s="16"/>
      <c r="M47" s="16"/>
      <c r="N47" s="55"/>
      <c r="O47" s="55"/>
      <c r="P47" s="55"/>
      <c r="Q47" s="6"/>
      <c r="R47" s="49"/>
      <c r="S47" s="49"/>
      <c r="T47" s="1"/>
      <c r="U47" s="12"/>
      <c r="V47" s="11"/>
      <c r="W47" s="10"/>
      <c r="X47" s="10"/>
      <c r="Y47" s="10"/>
      <c r="Z47" s="10"/>
      <c r="AA47" s="10"/>
      <c r="AB47" s="10"/>
      <c r="AC47" s="1"/>
      <c r="AD47" s="1"/>
      <c r="AE47" s="1"/>
      <c r="AF47" s="9"/>
      <c r="AG47" s="1"/>
      <c r="AH47" s="1"/>
      <c r="AI47" s="8"/>
      <c r="AJ47" s="1"/>
      <c r="AK47" s="49"/>
      <c r="AL47" s="49"/>
      <c r="AM47" s="6"/>
      <c r="AN47" s="6"/>
      <c r="AO47" s="5"/>
      <c r="AP47" s="2"/>
      <c r="AQ47" s="2"/>
      <c r="AR47" s="1"/>
      <c r="AS47" s="1"/>
      <c r="AT47" s="1"/>
    </row>
    <row r="48" spans="1:46" ht="21.6" x14ac:dyDescent="0.45">
      <c r="A48" s="48"/>
      <c r="B48" s="48"/>
      <c r="C48" s="48"/>
      <c r="D48" s="47"/>
      <c r="E48" s="57"/>
      <c r="F48" s="57"/>
      <c r="G48" s="57"/>
      <c r="H48" s="57"/>
      <c r="I48" s="57"/>
      <c r="J48" s="56"/>
      <c r="K48" s="37"/>
      <c r="L48" s="16"/>
      <c r="M48" s="16"/>
      <c r="N48" s="55"/>
      <c r="O48" s="55"/>
      <c r="P48" s="55"/>
      <c r="Q48" s="6"/>
      <c r="R48" s="49"/>
      <c r="S48" s="49"/>
      <c r="T48" s="1"/>
      <c r="U48" s="12"/>
      <c r="V48" s="11"/>
      <c r="W48" s="10"/>
      <c r="X48" s="10"/>
      <c r="Y48" s="10"/>
      <c r="Z48" s="10"/>
      <c r="AA48" s="10"/>
      <c r="AB48" s="10"/>
      <c r="AC48" s="1"/>
      <c r="AD48" s="1"/>
      <c r="AE48" s="1"/>
      <c r="AF48" s="9"/>
      <c r="AG48" s="1"/>
      <c r="AH48" s="1"/>
      <c r="AI48" s="8"/>
      <c r="AJ48" s="1"/>
      <c r="AK48" s="49"/>
      <c r="AL48" s="49"/>
      <c r="AM48" s="5"/>
      <c r="AN48" s="6"/>
      <c r="AO48" s="5"/>
      <c r="AP48" s="2"/>
      <c r="AQ48" s="2"/>
      <c r="AR48" s="1"/>
      <c r="AS48" s="1"/>
      <c r="AT48" s="1"/>
    </row>
    <row r="49" spans="1:46" ht="21.6" x14ac:dyDescent="0.45">
      <c r="A49" s="54" t="s">
        <v>16</v>
      </c>
      <c r="B49" s="36" t="s">
        <v>15</v>
      </c>
      <c r="C49" s="35" t="s">
        <v>14</v>
      </c>
      <c r="D49" s="16" t="s">
        <v>12</v>
      </c>
      <c r="E49" s="18">
        <v>8</v>
      </c>
      <c r="F49" s="20">
        <v>120</v>
      </c>
      <c r="G49" s="20"/>
      <c r="H49" s="20"/>
      <c r="I49" s="20"/>
      <c r="J49" s="20">
        <v>120</v>
      </c>
      <c r="K49" s="50"/>
      <c r="L49" s="6"/>
      <c r="M49" s="6"/>
      <c r="N49" s="23"/>
      <c r="O49" s="23"/>
      <c r="P49" s="23"/>
      <c r="Q49" s="53"/>
      <c r="R49" s="49"/>
      <c r="S49" s="49"/>
      <c r="T49" s="1"/>
      <c r="U49" s="12"/>
      <c r="V49" s="11"/>
      <c r="W49" s="10"/>
      <c r="X49" s="10"/>
      <c r="Y49" s="10"/>
      <c r="Z49" s="10"/>
      <c r="AA49" s="10"/>
      <c r="AB49" s="10"/>
      <c r="AC49" s="1"/>
      <c r="AD49" s="1"/>
      <c r="AE49" s="1"/>
      <c r="AF49" s="9"/>
      <c r="AG49" s="1"/>
      <c r="AH49" s="1"/>
      <c r="AI49" s="8"/>
      <c r="AJ49" s="1"/>
      <c r="AK49" s="49"/>
      <c r="AL49" s="49"/>
      <c r="AM49" s="5"/>
      <c r="AN49" s="4"/>
      <c r="AO49" s="3"/>
      <c r="AP49" s="2"/>
      <c r="AQ49" s="2"/>
      <c r="AR49" s="1"/>
      <c r="AS49" s="1"/>
      <c r="AT49" s="1"/>
    </row>
    <row r="50" spans="1:46" ht="21.6" x14ac:dyDescent="0.45">
      <c r="A50" s="41">
        <f>SUM(F49:F53)</f>
        <v>1080</v>
      </c>
      <c r="B50" s="34"/>
      <c r="C50" s="26"/>
      <c r="D50" s="16" t="s">
        <v>13</v>
      </c>
      <c r="E50" s="18">
        <v>9</v>
      </c>
      <c r="F50" s="20">
        <v>240</v>
      </c>
      <c r="G50" s="20"/>
      <c r="H50" s="20"/>
      <c r="I50" s="20"/>
      <c r="J50" s="20">
        <v>240</v>
      </c>
      <c r="K50" s="50"/>
      <c r="L50" s="10"/>
      <c r="M50" s="10"/>
      <c r="N50" s="37"/>
      <c r="O50" s="37"/>
      <c r="P50" s="37"/>
      <c r="Q50" s="6"/>
      <c r="R50" s="49"/>
      <c r="S50" s="49"/>
      <c r="T50" s="1"/>
      <c r="U50" s="12"/>
      <c r="V50" s="11"/>
      <c r="W50" s="10"/>
      <c r="X50" s="10"/>
      <c r="Y50" s="10"/>
      <c r="Z50" s="10"/>
      <c r="AA50" s="10"/>
      <c r="AB50" s="10"/>
      <c r="AC50" s="1"/>
      <c r="AD50" s="1"/>
      <c r="AE50" s="1"/>
      <c r="AF50" s="9"/>
      <c r="AG50" s="1"/>
      <c r="AH50" s="1"/>
      <c r="AI50" s="8"/>
      <c r="AJ50" s="1"/>
      <c r="AK50" s="49"/>
      <c r="AL50" s="49"/>
      <c r="AM50" s="5"/>
      <c r="AN50" s="4"/>
      <c r="AO50" s="3"/>
      <c r="AP50" s="2"/>
      <c r="AQ50" s="2"/>
      <c r="AR50" s="1"/>
      <c r="AS50" s="1"/>
      <c r="AT50" s="1"/>
    </row>
    <row r="51" spans="1:46" ht="21.6" x14ac:dyDescent="0.45">
      <c r="A51" s="51"/>
      <c r="B51" s="34"/>
      <c r="C51" s="22"/>
      <c r="D51" s="16" t="s">
        <v>12</v>
      </c>
      <c r="E51" s="18">
        <v>9</v>
      </c>
      <c r="F51" s="20">
        <v>240</v>
      </c>
      <c r="G51" s="20"/>
      <c r="H51" s="20"/>
      <c r="I51" s="20"/>
      <c r="J51" s="20">
        <v>240</v>
      </c>
      <c r="K51" s="50"/>
      <c r="L51" s="10"/>
      <c r="M51" s="10"/>
      <c r="N51" s="37"/>
      <c r="O51" s="37"/>
      <c r="P51" s="37"/>
      <c r="Q51" s="6"/>
      <c r="R51" s="49"/>
      <c r="S51" s="49"/>
      <c r="T51" s="1"/>
      <c r="U51" s="12"/>
      <c r="V51" s="11"/>
      <c r="W51" s="10"/>
      <c r="X51" s="10"/>
      <c r="Y51" s="10"/>
      <c r="Z51" s="10"/>
      <c r="AA51" s="10"/>
      <c r="AB51" s="10"/>
      <c r="AC51" s="1"/>
      <c r="AD51" s="1"/>
      <c r="AE51" s="1"/>
      <c r="AF51" s="9"/>
      <c r="AG51" s="1"/>
      <c r="AH51" s="1"/>
      <c r="AI51" s="8"/>
      <c r="AJ51" s="1"/>
      <c r="AK51" s="49"/>
      <c r="AL51" s="49"/>
      <c r="AM51" s="5"/>
      <c r="AN51" s="4"/>
      <c r="AO51" s="3"/>
      <c r="AP51" s="2"/>
      <c r="AQ51" s="2"/>
      <c r="AR51" s="1"/>
      <c r="AS51" s="1"/>
      <c r="AT51" s="1"/>
    </row>
    <row r="52" spans="1:46" ht="21.6" x14ac:dyDescent="0.45">
      <c r="A52" s="51"/>
      <c r="B52" s="52" t="s">
        <v>11</v>
      </c>
      <c r="C52" s="35" t="s">
        <v>10</v>
      </c>
      <c r="D52" s="40" t="s">
        <v>9</v>
      </c>
      <c r="E52" s="18">
        <v>8</v>
      </c>
      <c r="F52" s="20">
        <v>120</v>
      </c>
      <c r="G52" s="20"/>
      <c r="H52" s="20"/>
      <c r="I52" s="20"/>
      <c r="J52" s="20"/>
      <c r="K52" s="50"/>
      <c r="L52" s="10"/>
      <c r="M52" s="10"/>
      <c r="N52" s="37"/>
      <c r="O52" s="37"/>
      <c r="P52" s="37"/>
      <c r="Q52" s="6"/>
      <c r="R52" s="49"/>
      <c r="S52" s="49"/>
      <c r="T52" s="1"/>
      <c r="U52" s="12"/>
      <c r="V52" s="11"/>
      <c r="W52" s="10"/>
      <c r="X52" s="10"/>
      <c r="Y52" s="10"/>
      <c r="Z52" s="10"/>
      <c r="AA52" s="10"/>
      <c r="AB52" s="10"/>
      <c r="AC52" s="1"/>
      <c r="AD52" s="1"/>
      <c r="AE52" s="1"/>
      <c r="AF52" s="9"/>
      <c r="AG52" s="1"/>
      <c r="AH52" s="1"/>
      <c r="AI52" s="8"/>
      <c r="AJ52" s="1"/>
      <c r="AK52" s="49"/>
      <c r="AL52" s="49"/>
      <c r="AM52" s="5"/>
      <c r="AN52" s="4"/>
      <c r="AO52" s="3"/>
      <c r="AP52" s="2"/>
      <c r="AQ52" s="2"/>
      <c r="AR52" s="1"/>
      <c r="AS52" s="1"/>
      <c r="AT52" s="1"/>
    </row>
    <row r="53" spans="1:46" ht="21.6" x14ac:dyDescent="0.45">
      <c r="A53" s="51"/>
      <c r="B53" s="22"/>
      <c r="C53" s="22"/>
      <c r="D53" s="18"/>
      <c r="E53" s="18">
        <v>9</v>
      </c>
      <c r="F53" s="20">
        <v>360</v>
      </c>
      <c r="G53" s="20"/>
      <c r="H53" s="20"/>
      <c r="I53" s="20"/>
      <c r="J53" s="20"/>
      <c r="K53" s="50"/>
      <c r="L53" s="10"/>
      <c r="M53" s="10"/>
      <c r="N53" s="37"/>
      <c r="O53" s="37"/>
      <c r="P53" s="37"/>
      <c r="Q53" s="6"/>
      <c r="R53" s="49"/>
      <c r="S53" s="49"/>
      <c r="T53" s="1"/>
      <c r="U53" s="12"/>
      <c r="V53" s="11"/>
      <c r="W53" s="10"/>
      <c r="X53" s="10"/>
      <c r="Y53" s="10"/>
      <c r="Z53" s="10"/>
      <c r="AA53" s="10"/>
      <c r="AB53" s="10"/>
      <c r="AC53" s="1"/>
      <c r="AD53" s="1"/>
      <c r="AE53" s="1"/>
      <c r="AF53" s="9"/>
      <c r="AG53" s="1"/>
      <c r="AH53" s="1"/>
      <c r="AI53" s="8"/>
      <c r="AJ53" s="1"/>
      <c r="AK53" s="49"/>
      <c r="AL53" s="49"/>
      <c r="AM53" s="5"/>
      <c r="AN53" s="4"/>
      <c r="AO53" s="3"/>
      <c r="AP53" s="2"/>
      <c r="AQ53" s="2"/>
      <c r="AR53" s="1"/>
      <c r="AS53" s="1"/>
      <c r="AT53" s="1"/>
    </row>
    <row r="54" spans="1:46" ht="21.6" x14ac:dyDescent="0.45">
      <c r="A54" s="48"/>
      <c r="B54" s="48"/>
      <c r="C54" s="48"/>
      <c r="D54" s="47"/>
      <c r="E54" s="47"/>
      <c r="F54" s="47"/>
      <c r="G54" s="47"/>
      <c r="H54" s="46"/>
      <c r="I54" s="46"/>
      <c r="J54" s="45"/>
      <c r="K54" s="37"/>
      <c r="L54" s="10"/>
      <c r="M54" s="10"/>
      <c r="N54" s="37"/>
      <c r="O54" s="37"/>
      <c r="P54" s="37"/>
      <c r="Q54" s="6"/>
      <c r="R54" s="7"/>
      <c r="S54" s="6"/>
      <c r="T54" s="1"/>
      <c r="U54" s="12"/>
      <c r="V54" s="11"/>
      <c r="W54" s="10"/>
      <c r="X54" s="10"/>
      <c r="Y54" s="10"/>
      <c r="Z54" s="10"/>
      <c r="AA54" s="10"/>
      <c r="AB54" s="10"/>
      <c r="AC54" s="1"/>
      <c r="AD54" s="1"/>
      <c r="AE54" s="1"/>
      <c r="AF54" s="9"/>
      <c r="AG54" s="1"/>
      <c r="AH54" s="1"/>
      <c r="AI54" s="8"/>
      <c r="AJ54" s="1"/>
      <c r="AK54" s="7"/>
      <c r="AL54" s="6"/>
      <c r="AM54" s="5"/>
      <c r="AN54" s="6"/>
      <c r="AO54" s="5"/>
      <c r="AP54" s="2"/>
      <c r="AQ54" s="2"/>
      <c r="AR54" s="1"/>
      <c r="AS54" s="1"/>
      <c r="AT54" s="1"/>
    </row>
    <row r="55" spans="1:46" ht="21.6" x14ac:dyDescent="0.45">
      <c r="A55" s="39" t="s">
        <v>8</v>
      </c>
      <c r="B55" s="36" t="s">
        <v>7</v>
      </c>
      <c r="C55" s="35" t="s">
        <v>6</v>
      </c>
      <c r="D55" s="30" t="s">
        <v>1</v>
      </c>
      <c r="E55" s="38">
        <v>2</v>
      </c>
      <c r="F55" s="20">
        <v>120</v>
      </c>
      <c r="G55" s="20"/>
      <c r="H55" s="43"/>
      <c r="I55" s="44"/>
      <c r="J55" s="20">
        <v>120</v>
      </c>
      <c r="K55" s="10"/>
      <c r="L55" s="10"/>
      <c r="M55" s="10"/>
      <c r="N55" s="37"/>
      <c r="O55" s="37"/>
      <c r="P55" s="37"/>
      <c r="Q55" s="6"/>
      <c r="R55" s="7"/>
      <c r="S55" s="6"/>
      <c r="T55" s="1"/>
      <c r="U55" s="12"/>
      <c r="V55" s="11"/>
      <c r="W55" s="10"/>
      <c r="X55" s="10"/>
      <c r="Y55" s="10"/>
      <c r="Z55" s="10"/>
      <c r="AA55" s="10"/>
      <c r="AB55" s="10"/>
      <c r="AC55" s="1"/>
      <c r="AD55" s="1"/>
      <c r="AE55" s="1"/>
      <c r="AF55" s="9"/>
      <c r="AG55" s="1"/>
      <c r="AH55" s="1"/>
      <c r="AI55" s="8"/>
      <c r="AJ55" s="1"/>
      <c r="AK55" s="7"/>
      <c r="AL55" s="6"/>
      <c r="AM55" s="5"/>
      <c r="AN55" s="4"/>
      <c r="AO55" s="3"/>
      <c r="AP55" s="2"/>
      <c r="AQ55" s="2"/>
      <c r="AR55" s="1"/>
      <c r="AS55" s="1"/>
      <c r="AT55" s="1"/>
    </row>
    <row r="56" spans="1:46" ht="21.6" x14ac:dyDescent="0.45">
      <c r="A56" s="41">
        <f>SUM(F55:F60)</f>
        <v>438</v>
      </c>
      <c r="B56" s="34"/>
      <c r="C56" s="26"/>
      <c r="D56" s="24"/>
      <c r="E56" s="38">
        <v>3</v>
      </c>
      <c r="F56" s="20">
        <v>24</v>
      </c>
      <c r="G56" s="20"/>
      <c r="H56" s="43"/>
      <c r="I56" s="42"/>
      <c r="J56" s="20">
        <v>24</v>
      </c>
      <c r="K56" s="10"/>
      <c r="L56" s="10"/>
      <c r="M56" s="10"/>
      <c r="N56" s="37"/>
      <c r="O56" s="37"/>
      <c r="P56" s="37"/>
      <c r="Q56" s="6"/>
      <c r="R56" s="7"/>
      <c r="S56" s="6"/>
      <c r="T56" s="1"/>
      <c r="U56" s="12"/>
      <c r="V56" s="11"/>
      <c r="W56" s="10"/>
      <c r="X56" s="10"/>
      <c r="Y56" s="10"/>
      <c r="Z56" s="10"/>
      <c r="AA56" s="10"/>
      <c r="AB56" s="10"/>
      <c r="AC56" s="1"/>
      <c r="AD56" s="1"/>
      <c r="AE56" s="1"/>
      <c r="AF56" s="9"/>
      <c r="AG56" s="1"/>
      <c r="AH56" s="1"/>
      <c r="AI56" s="8"/>
      <c r="AJ56" s="1"/>
      <c r="AK56" s="7"/>
      <c r="AL56" s="6"/>
      <c r="AM56" s="5"/>
      <c r="AN56" s="4"/>
      <c r="AO56" s="3"/>
      <c r="AP56" s="2"/>
      <c r="AQ56" s="2"/>
      <c r="AR56" s="1"/>
      <c r="AS56" s="1"/>
      <c r="AT56" s="1"/>
    </row>
    <row r="57" spans="1:46" ht="21.6" x14ac:dyDescent="0.45">
      <c r="A57" s="41"/>
      <c r="B57" s="34"/>
      <c r="C57" s="26"/>
      <c r="D57" s="24"/>
      <c r="E57" s="38">
        <v>4</v>
      </c>
      <c r="F57" s="20">
        <v>120</v>
      </c>
      <c r="G57" s="20"/>
      <c r="H57" s="40"/>
      <c r="I57" s="19"/>
      <c r="J57" s="20">
        <v>120</v>
      </c>
      <c r="K57" s="10"/>
      <c r="L57" s="10"/>
      <c r="M57" s="10"/>
      <c r="N57" s="37"/>
      <c r="O57" s="37"/>
      <c r="P57" s="37"/>
      <c r="Q57" s="6"/>
      <c r="R57" s="7"/>
      <c r="S57" s="6"/>
      <c r="T57" s="1"/>
      <c r="U57" s="12"/>
      <c r="V57" s="11"/>
      <c r="W57" s="10"/>
      <c r="X57" s="10"/>
      <c r="Y57" s="10"/>
      <c r="Z57" s="10"/>
      <c r="AA57" s="10"/>
      <c r="AB57" s="10"/>
      <c r="AC57" s="1"/>
      <c r="AD57" s="1"/>
      <c r="AE57" s="1"/>
      <c r="AF57" s="9"/>
      <c r="AG57" s="1"/>
      <c r="AH57" s="1"/>
      <c r="AI57" s="8"/>
      <c r="AJ57" s="1"/>
      <c r="AK57" s="7"/>
      <c r="AL57" s="6"/>
      <c r="AM57" s="5"/>
      <c r="AN57" s="4"/>
      <c r="AO57" s="3"/>
      <c r="AP57" s="2"/>
      <c r="AQ57" s="2"/>
      <c r="AR57" s="1"/>
      <c r="AS57" s="1"/>
      <c r="AT57" s="1"/>
    </row>
    <row r="58" spans="1:46" ht="21.6" x14ac:dyDescent="0.45">
      <c r="A58" s="39"/>
      <c r="B58" s="33"/>
      <c r="C58" s="22"/>
      <c r="D58" s="24"/>
      <c r="E58" s="38">
        <v>5</v>
      </c>
      <c r="F58" s="20">
        <v>120</v>
      </c>
      <c r="G58" s="20"/>
      <c r="H58" s="18"/>
      <c r="I58" s="19"/>
      <c r="J58" s="20">
        <v>120</v>
      </c>
      <c r="K58" s="10"/>
      <c r="L58" s="10"/>
      <c r="M58" s="10"/>
      <c r="N58" s="37"/>
      <c r="O58" s="37"/>
      <c r="P58" s="37"/>
      <c r="Q58" s="6"/>
      <c r="R58" s="7"/>
      <c r="S58" s="6"/>
      <c r="T58" s="1"/>
      <c r="U58" s="12"/>
      <c r="V58" s="11"/>
      <c r="W58" s="10"/>
      <c r="X58" s="10"/>
      <c r="Y58" s="10"/>
      <c r="Z58" s="10"/>
      <c r="AA58" s="10"/>
      <c r="AB58" s="10"/>
      <c r="AC58" s="1"/>
      <c r="AD58" s="1"/>
      <c r="AE58" s="1"/>
      <c r="AF58" s="9"/>
      <c r="AG58" s="1"/>
      <c r="AH58" s="1"/>
      <c r="AI58" s="8"/>
      <c r="AJ58" s="1"/>
      <c r="AK58" s="7"/>
      <c r="AL58" s="6"/>
      <c r="AM58" s="5"/>
      <c r="AN58" s="4"/>
      <c r="AO58" s="3"/>
      <c r="AP58" s="2"/>
      <c r="AQ58" s="2"/>
      <c r="AR58" s="1"/>
      <c r="AS58" s="1"/>
      <c r="AT58" s="1"/>
    </row>
    <row r="59" spans="1:46" ht="21.6" x14ac:dyDescent="0.45">
      <c r="A59" s="27"/>
      <c r="B59" s="36" t="s">
        <v>5</v>
      </c>
      <c r="C59" s="35" t="s">
        <v>4</v>
      </c>
      <c r="D59" s="30" t="s">
        <v>1</v>
      </c>
      <c r="E59" s="18">
        <v>9</v>
      </c>
      <c r="F59" s="20">
        <v>40</v>
      </c>
      <c r="G59" s="20"/>
      <c r="H59" s="20"/>
      <c r="I59" s="20">
        <v>40</v>
      </c>
      <c r="J59" s="20"/>
      <c r="K59" s="29"/>
      <c r="L59" s="28"/>
      <c r="M59" s="28"/>
      <c r="N59" s="28"/>
      <c r="O59" s="28"/>
      <c r="P59" s="28"/>
      <c r="Q59" s="28"/>
      <c r="R59" s="5"/>
      <c r="S59" s="13"/>
      <c r="T59" s="1"/>
      <c r="U59" s="12"/>
      <c r="V59" s="11"/>
      <c r="W59" s="10"/>
      <c r="X59" s="10"/>
      <c r="Y59" s="10"/>
      <c r="Z59" s="10"/>
      <c r="AA59" s="10"/>
      <c r="AB59" s="10"/>
      <c r="AC59" s="1"/>
      <c r="AD59" s="1"/>
      <c r="AE59" s="1"/>
      <c r="AF59" s="9"/>
      <c r="AG59" s="1"/>
      <c r="AH59" s="1"/>
      <c r="AI59" s="8"/>
      <c r="AJ59" s="1"/>
      <c r="AK59" s="7"/>
      <c r="AL59" s="6"/>
      <c r="AM59" s="5"/>
      <c r="AN59" s="4"/>
      <c r="AO59" s="3"/>
      <c r="AP59" s="2"/>
      <c r="AQ59" s="2"/>
      <c r="AR59" s="1"/>
      <c r="AS59" s="1"/>
      <c r="AT59" s="1"/>
    </row>
    <row r="60" spans="1:46" ht="21.6" x14ac:dyDescent="0.45">
      <c r="A60" s="27"/>
      <c r="B60" s="34"/>
      <c r="C60" s="26"/>
      <c r="D60" s="24"/>
      <c r="E60" s="18">
        <v>10</v>
      </c>
      <c r="F60" s="20">
        <v>14</v>
      </c>
      <c r="G60" s="20"/>
      <c r="H60" s="20"/>
      <c r="I60" s="20">
        <v>14</v>
      </c>
      <c r="J60" s="20"/>
      <c r="K60" s="23"/>
      <c r="L60" s="10"/>
      <c r="M60" s="10"/>
      <c r="N60" s="10"/>
      <c r="O60" s="10"/>
      <c r="P60" s="10"/>
      <c r="Q60" s="6"/>
      <c r="R60" s="5"/>
      <c r="S60" s="13"/>
      <c r="T60" s="1"/>
      <c r="U60" s="12"/>
      <c r="V60" s="11"/>
      <c r="W60" s="10"/>
      <c r="X60" s="10"/>
      <c r="Y60" s="10"/>
      <c r="Z60" s="10"/>
      <c r="AA60" s="10"/>
      <c r="AB60" s="10"/>
      <c r="AC60" s="1"/>
      <c r="AD60" s="1"/>
      <c r="AE60" s="1"/>
      <c r="AF60" s="9"/>
      <c r="AG60" s="1"/>
      <c r="AH60" s="1"/>
      <c r="AI60" s="8"/>
      <c r="AJ60" s="1"/>
      <c r="AK60" s="7"/>
      <c r="AL60" s="6"/>
      <c r="AM60" s="5"/>
      <c r="AN60" s="4"/>
      <c r="AO60" s="3"/>
      <c r="AP60" s="2"/>
      <c r="AQ60" s="2"/>
      <c r="AR60" s="1"/>
      <c r="AS60" s="1"/>
      <c r="AT60" s="1"/>
    </row>
    <row r="61" spans="1:46" ht="21.6" x14ac:dyDescent="0.45">
      <c r="A61" s="17"/>
      <c r="B61" s="33"/>
      <c r="C61" s="22"/>
      <c r="D61" s="24"/>
      <c r="E61" s="18"/>
      <c r="F61" s="20"/>
      <c r="G61" s="20"/>
      <c r="H61" s="18"/>
      <c r="I61" s="19"/>
      <c r="J61" s="20"/>
      <c r="K61" s="23"/>
      <c r="L61" s="16"/>
      <c r="M61" s="16"/>
      <c r="N61" s="16"/>
      <c r="O61" s="16"/>
      <c r="P61" s="16"/>
      <c r="Q61" s="6"/>
      <c r="R61" s="5"/>
      <c r="S61" s="13"/>
      <c r="T61" s="1"/>
      <c r="U61" s="12"/>
      <c r="V61" s="11"/>
      <c r="W61" s="10"/>
      <c r="X61" s="10"/>
      <c r="Y61" s="10"/>
      <c r="Z61" s="10"/>
      <c r="AA61" s="10"/>
      <c r="AB61" s="10"/>
      <c r="AC61" s="1"/>
      <c r="AD61" s="1"/>
      <c r="AE61" s="1"/>
      <c r="AF61" s="9"/>
      <c r="AG61" s="1"/>
      <c r="AH61" s="1"/>
      <c r="AI61" s="8"/>
      <c r="AJ61" s="1"/>
      <c r="AK61" s="7"/>
      <c r="AL61" s="6"/>
      <c r="AM61" s="5"/>
      <c r="AN61" s="4"/>
      <c r="AO61" s="3"/>
      <c r="AP61" s="2"/>
      <c r="AQ61" s="2"/>
      <c r="AR61" s="1"/>
      <c r="AS61" s="1"/>
      <c r="AT61" s="1"/>
    </row>
    <row r="62" spans="1:46" ht="21.6" x14ac:dyDescent="0.45">
      <c r="A62" s="27"/>
      <c r="B62" s="32" t="s">
        <v>3</v>
      </c>
      <c r="C62" s="31" t="s">
        <v>2</v>
      </c>
      <c r="D62" s="30" t="s">
        <v>1</v>
      </c>
      <c r="E62" s="18">
        <v>13</v>
      </c>
      <c r="F62" s="20">
        <v>60</v>
      </c>
      <c r="G62" s="20"/>
      <c r="H62" s="20"/>
      <c r="I62" s="20"/>
      <c r="J62" s="20">
        <v>60</v>
      </c>
      <c r="K62" s="29"/>
      <c r="L62" s="28"/>
      <c r="M62" s="28"/>
      <c r="N62" s="28"/>
      <c r="O62" s="28"/>
      <c r="P62" s="28"/>
      <c r="Q62" s="28"/>
      <c r="R62" s="5"/>
      <c r="S62" s="13"/>
      <c r="T62" s="1"/>
      <c r="U62" s="12"/>
      <c r="V62" s="11"/>
      <c r="W62" s="10"/>
      <c r="X62" s="10"/>
      <c r="Y62" s="10"/>
      <c r="Z62" s="10"/>
      <c r="AA62" s="10"/>
      <c r="AB62" s="10"/>
      <c r="AC62" s="1"/>
      <c r="AD62" s="1"/>
      <c r="AE62" s="1"/>
      <c r="AF62" s="9"/>
      <c r="AG62" s="1"/>
      <c r="AH62" s="1"/>
      <c r="AI62" s="8"/>
      <c r="AJ62" s="1"/>
      <c r="AK62" s="7"/>
      <c r="AL62" s="6"/>
      <c r="AM62" s="5"/>
      <c r="AN62" s="4"/>
      <c r="AO62" s="3"/>
      <c r="AP62" s="2"/>
      <c r="AQ62" s="2"/>
      <c r="AR62" s="1"/>
      <c r="AS62" s="1"/>
      <c r="AT62" s="1"/>
    </row>
    <row r="63" spans="1:46" ht="21.6" x14ac:dyDescent="0.45">
      <c r="A63" s="27"/>
      <c r="B63" s="26"/>
      <c r="C63" s="25"/>
      <c r="D63" s="24"/>
      <c r="E63" s="18"/>
      <c r="F63" s="20"/>
      <c r="G63" s="20"/>
      <c r="H63" s="20"/>
      <c r="I63" s="20"/>
      <c r="J63" s="20"/>
      <c r="K63" s="23"/>
      <c r="L63" s="10"/>
      <c r="M63" s="10"/>
      <c r="N63" s="10"/>
      <c r="O63" s="10"/>
      <c r="P63" s="10"/>
      <c r="Q63" s="6"/>
      <c r="R63" s="5"/>
      <c r="S63" s="13"/>
      <c r="T63" s="1"/>
      <c r="U63" s="12"/>
      <c r="V63" s="11"/>
      <c r="W63" s="10"/>
      <c r="X63" s="10"/>
      <c r="Y63" s="10"/>
      <c r="Z63" s="10"/>
      <c r="AA63" s="10"/>
      <c r="AB63" s="10"/>
      <c r="AC63" s="1"/>
      <c r="AD63" s="1"/>
      <c r="AE63" s="1"/>
      <c r="AF63" s="9"/>
      <c r="AG63" s="1"/>
      <c r="AH63" s="1"/>
      <c r="AI63" s="8"/>
      <c r="AJ63" s="1"/>
      <c r="AK63" s="7"/>
      <c r="AL63" s="6"/>
      <c r="AM63" s="5"/>
      <c r="AN63" s="4"/>
      <c r="AO63" s="3"/>
      <c r="AP63" s="2"/>
      <c r="AQ63" s="2"/>
      <c r="AR63" s="1"/>
      <c r="AS63" s="1"/>
      <c r="AT63" s="1"/>
    </row>
    <row r="64" spans="1:46" ht="21.6" x14ac:dyDescent="0.45">
      <c r="A64" s="17"/>
      <c r="B64" s="26"/>
      <c r="C64" s="25" t="s">
        <v>0</v>
      </c>
      <c r="D64" s="24"/>
      <c r="E64" s="18">
        <v>2</v>
      </c>
      <c r="F64" s="20">
        <v>200</v>
      </c>
      <c r="G64" s="20"/>
      <c r="H64" s="18"/>
      <c r="I64" s="19"/>
      <c r="J64" s="20">
        <v>200</v>
      </c>
      <c r="K64" s="23"/>
      <c r="L64" s="16"/>
      <c r="M64" s="16"/>
      <c r="N64" s="16"/>
      <c r="O64" s="16"/>
      <c r="P64" s="16"/>
      <c r="Q64" s="6"/>
      <c r="R64" s="5"/>
      <c r="S64" s="13"/>
      <c r="T64" s="1"/>
      <c r="U64" s="12"/>
      <c r="V64" s="11"/>
      <c r="W64" s="10"/>
      <c r="X64" s="10"/>
      <c r="Y64" s="10"/>
      <c r="Z64" s="10"/>
      <c r="AA64" s="10"/>
      <c r="AB64" s="10"/>
      <c r="AC64" s="1"/>
      <c r="AD64" s="1"/>
      <c r="AE64" s="1"/>
      <c r="AF64" s="9"/>
      <c r="AG64" s="1"/>
      <c r="AH64" s="1"/>
      <c r="AI64" s="8"/>
      <c r="AJ64" s="1"/>
      <c r="AK64" s="7"/>
      <c r="AL64" s="6"/>
      <c r="AM64" s="5"/>
      <c r="AN64" s="4"/>
      <c r="AO64" s="3"/>
      <c r="AP64" s="2"/>
      <c r="AQ64" s="2"/>
      <c r="AR64" s="1"/>
      <c r="AS64" s="1"/>
      <c r="AT64" s="1"/>
    </row>
    <row r="65" spans="1:46" ht="21.6" x14ac:dyDescent="0.45">
      <c r="A65" s="17"/>
      <c r="B65" s="22"/>
      <c r="C65" s="21"/>
      <c r="D65" s="21"/>
      <c r="E65" s="18">
        <v>3</v>
      </c>
      <c r="F65" s="20">
        <v>200</v>
      </c>
      <c r="G65" s="18"/>
      <c r="H65" s="18"/>
      <c r="I65" s="19"/>
      <c r="J65" s="18">
        <v>200</v>
      </c>
      <c r="K65" s="14"/>
      <c r="L65" s="15"/>
      <c r="M65" s="15"/>
      <c r="N65" s="14"/>
      <c r="O65" s="14"/>
      <c r="P65" s="14"/>
      <c r="Q65" s="6"/>
      <c r="R65" s="5"/>
      <c r="S65" s="13"/>
      <c r="T65" s="1"/>
      <c r="U65" s="12"/>
      <c r="V65" s="11"/>
      <c r="W65" s="10"/>
      <c r="X65" s="10"/>
      <c r="Y65" s="10"/>
      <c r="Z65" s="10"/>
      <c r="AA65" s="10"/>
      <c r="AB65" s="10"/>
      <c r="AC65" s="1"/>
      <c r="AD65" s="1"/>
      <c r="AE65" s="1"/>
      <c r="AF65" s="9"/>
      <c r="AG65" s="1"/>
      <c r="AH65" s="1"/>
      <c r="AI65" s="8"/>
      <c r="AJ65" s="1"/>
      <c r="AK65" s="7"/>
      <c r="AL65" s="6"/>
      <c r="AM65" s="5"/>
      <c r="AN65" s="4"/>
      <c r="AO65" s="3"/>
      <c r="AP65" s="2"/>
      <c r="AQ65" s="2"/>
      <c r="AR65" s="1"/>
      <c r="AS65" s="1"/>
      <c r="AT65" s="1"/>
    </row>
    <row r="66" spans="1:46" ht="21.6" x14ac:dyDescent="0.45">
      <c r="A66" s="17"/>
      <c r="B66" s="17"/>
      <c r="C66" s="15"/>
      <c r="D66" s="15"/>
      <c r="E66" s="16"/>
      <c r="F66" s="16"/>
      <c r="G66" s="16"/>
      <c r="H66" s="16"/>
      <c r="I66" s="15"/>
      <c r="J66" s="15"/>
      <c r="K66" s="14"/>
      <c r="L66" s="15"/>
      <c r="M66" s="15"/>
      <c r="N66" s="14"/>
      <c r="O66" s="14"/>
      <c r="P66" s="14"/>
      <c r="Q66" s="6"/>
      <c r="R66" s="5"/>
      <c r="S66" s="13"/>
      <c r="T66" s="1"/>
      <c r="U66" s="12"/>
      <c r="V66" s="11"/>
      <c r="W66" s="10"/>
      <c r="X66" s="10"/>
      <c r="Y66" s="10"/>
      <c r="Z66" s="10"/>
      <c r="AA66" s="10"/>
      <c r="AB66" s="10"/>
      <c r="AC66" s="1"/>
      <c r="AD66" s="1"/>
      <c r="AE66" s="1"/>
      <c r="AF66" s="9"/>
      <c r="AG66" s="1"/>
      <c r="AH66" s="1"/>
      <c r="AI66" s="8"/>
      <c r="AJ66" s="1"/>
      <c r="AK66" s="7"/>
      <c r="AL66" s="6"/>
      <c r="AM66" s="5"/>
      <c r="AN66" s="4"/>
      <c r="AO66" s="3"/>
      <c r="AP66" s="2"/>
      <c r="AQ66" s="2"/>
      <c r="AR66" s="1"/>
      <c r="AS66" s="1"/>
      <c r="AT66" s="1"/>
    </row>
    <row r="67" spans="1:46" ht="21.6" x14ac:dyDescent="0.45">
      <c r="A67" s="17"/>
      <c r="B67" s="17"/>
      <c r="C67" s="15"/>
      <c r="D67" s="15"/>
      <c r="E67" s="16"/>
      <c r="F67" s="16"/>
      <c r="G67" s="16"/>
      <c r="H67" s="16"/>
      <c r="I67" s="15"/>
      <c r="J67" s="15"/>
      <c r="K67" s="14"/>
      <c r="L67" s="15"/>
      <c r="M67" s="15"/>
      <c r="N67" s="14"/>
      <c r="O67" s="14"/>
      <c r="P67" s="14"/>
      <c r="Q67" s="6"/>
      <c r="R67" s="5"/>
      <c r="S67" s="13"/>
      <c r="T67" s="1"/>
      <c r="U67" s="12"/>
      <c r="V67" s="11"/>
      <c r="W67" s="10"/>
      <c r="X67" s="10"/>
      <c r="Y67" s="10"/>
      <c r="Z67" s="10"/>
      <c r="AA67" s="10"/>
      <c r="AB67" s="10"/>
      <c r="AC67" s="1"/>
      <c r="AD67" s="1"/>
      <c r="AE67" s="1"/>
      <c r="AF67" s="9"/>
      <c r="AG67" s="1"/>
      <c r="AH67" s="1"/>
      <c r="AI67" s="8"/>
      <c r="AJ67" s="1"/>
      <c r="AK67" s="7"/>
      <c r="AL67" s="6"/>
      <c r="AM67" s="5"/>
      <c r="AN67" s="4"/>
      <c r="AO67" s="3"/>
      <c r="AP67" s="2"/>
      <c r="AQ67" s="2"/>
      <c r="AR67" s="1"/>
      <c r="AS67" s="1"/>
      <c r="AT67" s="1"/>
    </row>
    <row r="68" spans="1:46" ht="21.6" x14ac:dyDescent="0.45">
      <c r="A68" s="17"/>
      <c r="B68" s="17"/>
      <c r="C68" s="15"/>
      <c r="D68" s="15"/>
      <c r="E68" s="16"/>
      <c r="F68" s="16"/>
      <c r="G68" s="16"/>
      <c r="H68" s="16"/>
      <c r="I68" s="15"/>
      <c r="J68" s="15"/>
      <c r="K68" s="14"/>
      <c r="L68" s="15"/>
      <c r="M68" s="15"/>
      <c r="N68" s="14"/>
      <c r="O68" s="14"/>
      <c r="P68" s="14"/>
      <c r="Q68" s="6"/>
      <c r="R68" s="5"/>
      <c r="S68" s="13"/>
      <c r="T68" s="1"/>
      <c r="U68" s="12"/>
      <c r="V68" s="11"/>
      <c r="W68" s="10"/>
      <c r="X68" s="10"/>
      <c r="Y68" s="10"/>
      <c r="Z68" s="10"/>
      <c r="AA68" s="10"/>
      <c r="AB68" s="10"/>
      <c r="AC68" s="1"/>
      <c r="AD68" s="1"/>
      <c r="AE68" s="1"/>
      <c r="AF68" s="9"/>
      <c r="AG68" s="1"/>
      <c r="AH68" s="1"/>
      <c r="AI68" s="8"/>
      <c r="AJ68" s="1"/>
      <c r="AK68" s="7"/>
      <c r="AL68" s="6"/>
      <c r="AM68" s="5"/>
      <c r="AN68" s="4"/>
      <c r="AO68" s="3"/>
      <c r="AP68" s="2"/>
      <c r="AQ68" s="2"/>
      <c r="AR68" s="1"/>
      <c r="AS68" s="1"/>
      <c r="AT68" s="1"/>
    </row>
    <row r="69" spans="1:46" ht="21.6" x14ac:dyDescent="0.45">
      <c r="A69" s="17"/>
      <c r="B69" s="17"/>
      <c r="C69" s="15"/>
      <c r="D69" s="15"/>
      <c r="E69" s="16"/>
      <c r="F69" s="16"/>
      <c r="G69" s="16"/>
      <c r="H69" s="16"/>
      <c r="I69" s="15"/>
      <c r="J69" s="15"/>
      <c r="K69" s="14"/>
      <c r="L69" s="15"/>
      <c r="M69" s="15"/>
      <c r="N69" s="14"/>
      <c r="O69" s="14"/>
      <c r="P69" s="14"/>
      <c r="Q69" s="6"/>
      <c r="R69" s="5"/>
      <c r="S69" s="13"/>
      <c r="T69" s="1"/>
      <c r="U69" s="12"/>
      <c r="V69" s="11"/>
      <c r="W69" s="10"/>
      <c r="X69" s="10"/>
      <c r="Y69" s="10"/>
      <c r="Z69" s="10"/>
      <c r="AA69" s="10"/>
      <c r="AB69" s="10"/>
      <c r="AC69" s="1"/>
      <c r="AD69" s="1"/>
      <c r="AE69" s="1"/>
      <c r="AF69" s="9"/>
      <c r="AG69" s="1"/>
      <c r="AH69" s="1"/>
      <c r="AI69" s="8"/>
      <c r="AJ69" s="1"/>
      <c r="AK69" s="7"/>
      <c r="AL69" s="6"/>
      <c r="AM69" s="5"/>
      <c r="AN69" s="4"/>
      <c r="AO69" s="3"/>
      <c r="AP69" s="2"/>
      <c r="AQ69" s="2"/>
      <c r="AR69" s="1"/>
      <c r="AS69" s="1"/>
      <c r="AT69" s="1"/>
    </row>
    <row r="70" spans="1:46" ht="21.6" x14ac:dyDescent="0.45">
      <c r="A70" s="17"/>
      <c r="B70" s="17"/>
      <c r="C70" s="15"/>
      <c r="D70" s="15"/>
      <c r="E70" s="16"/>
      <c r="F70" s="16"/>
      <c r="G70" s="16"/>
      <c r="H70" s="16"/>
      <c r="I70" s="15"/>
      <c r="J70" s="15"/>
      <c r="K70" s="14"/>
      <c r="L70" s="15"/>
      <c r="M70" s="15"/>
      <c r="N70" s="14"/>
      <c r="O70" s="14"/>
      <c r="P70" s="14"/>
      <c r="Q70" s="6"/>
      <c r="R70" s="5"/>
      <c r="S70" s="13"/>
      <c r="T70" s="1"/>
      <c r="U70" s="12"/>
      <c r="V70" s="11"/>
      <c r="W70" s="10"/>
      <c r="X70" s="10"/>
      <c r="Y70" s="10"/>
      <c r="Z70" s="10"/>
      <c r="AA70" s="10"/>
      <c r="AB70" s="10"/>
      <c r="AC70" s="1"/>
      <c r="AD70" s="1"/>
      <c r="AE70" s="1"/>
      <c r="AF70" s="9"/>
      <c r="AG70" s="1"/>
      <c r="AH70" s="1"/>
      <c r="AI70" s="8"/>
      <c r="AJ70" s="1"/>
      <c r="AK70" s="7"/>
      <c r="AL70" s="6"/>
      <c r="AM70" s="5"/>
      <c r="AN70" s="4"/>
      <c r="AO70" s="3"/>
      <c r="AP70" s="2"/>
      <c r="AQ70" s="2"/>
      <c r="AR70" s="1"/>
      <c r="AS70" s="1"/>
      <c r="AT70" s="1"/>
    </row>
    <row r="71" spans="1:46" ht="21.6" x14ac:dyDescent="0.45">
      <c r="A71" s="17"/>
      <c r="B71" s="17"/>
      <c r="C71" s="15"/>
      <c r="D71" s="15"/>
      <c r="E71" s="16"/>
      <c r="F71" s="16"/>
      <c r="G71" s="16"/>
      <c r="H71" s="16"/>
      <c r="I71" s="15"/>
      <c r="J71" s="15"/>
      <c r="K71" s="14"/>
      <c r="L71" s="15"/>
      <c r="M71" s="15"/>
      <c r="N71" s="14"/>
      <c r="O71" s="14"/>
      <c r="P71" s="14"/>
      <c r="Q71" s="6"/>
      <c r="R71" s="5"/>
      <c r="S71" s="13"/>
      <c r="T71" s="1"/>
      <c r="U71" s="12"/>
      <c r="V71" s="11"/>
      <c r="W71" s="10"/>
      <c r="X71" s="10"/>
      <c r="Y71" s="10"/>
      <c r="Z71" s="10"/>
      <c r="AA71" s="10"/>
      <c r="AB71" s="10"/>
      <c r="AC71" s="1"/>
      <c r="AD71" s="1"/>
      <c r="AE71" s="1"/>
      <c r="AF71" s="9"/>
      <c r="AG71" s="1"/>
      <c r="AH71" s="1"/>
      <c r="AI71" s="8"/>
      <c r="AJ71" s="1"/>
      <c r="AK71" s="7"/>
      <c r="AL71" s="6"/>
      <c r="AM71" s="5"/>
      <c r="AN71" s="4"/>
      <c r="AO71" s="3"/>
      <c r="AP71" s="2"/>
      <c r="AQ71" s="2"/>
      <c r="AR71" s="1"/>
      <c r="AS71" s="1"/>
      <c r="AT71" s="1"/>
    </row>
    <row r="72" spans="1:46" ht="21.6" x14ac:dyDescent="0.45">
      <c r="A72" s="17"/>
      <c r="B72" s="17"/>
      <c r="C72" s="15"/>
      <c r="D72" s="15"/>
      <c r="E72" s="16"/>
      <c r="F72" s="16"/>
      <c r="G72" s="16"/>
      <c r="H72" s="16"/>
      <c r="I72" s="15"/>
      <c r="J72" s="15"/>
      <c r="K72" s="14"/>
      <c r="L72" s="15"/>
      <c r="M72" s="15"/>
      <c r="N72" s="14"/>
      <c r="O72" s="14"/>
      <c r="P72" s="14"/>
      <c r="Q72" s="6"/>
      <c r="R72" s="5"/>
      <c r="S72" s="13"/>
      <c r="T72" s="1"/>
      <c r="U72" s="12"/>
      <c r="V72" s="11"/>
      <c r="W72" s="10"/>
      <c r="X72" s="10"/>
      <c r="Y72" s="10"/>
      <c r="Z72" s="10"/>
      <c r="AA72" s="10"/>
      <c r="AB72" s="10"/>
      <c r="AC72" s="1"/>
      <c r="AD72" s="1"/>
      <c r="AE72" s="1"/>
      <c r="AF72" s="9"/>
      <c r="AG72" s="1"/>
      <c r="AH72" s="1"/>
      <c r="AI72" s="8"/>
      <c r="AJ72" s="1"/>
      <c r="AK72" s="7"/>
      <c r="AL72" s="6"/>
      <c r="AM72" s="5"/>
      <c r="AN72" s="4"/>
      <c r="AO72" s="3"/>
      <c r="AP72" s="2"/>
      <c r="AQ72" s="2"/>
      <c r="AR72" s="1"/>
      <c r="AS72" s="1"/>
      <c r="AT72" s="1"/>
    </row>
    <row r="73" spans="1:46" ht="21.6" x14ac:dyDescent="0.45">
      <c r="A73" s="17"/>
      <c r="B73" s="17"/>
      <c r="C73" s="15"/>
      <c r="D73" s="15"/>
      <c r="E73" s="16"/>
      <c r="F73" s="16"/>
      <c r="G73" s="16"/>
      <c r="H73" s="16"/>
      <c r="I73" s="15"/>
      <c r="J73" s="15"/>
      <c r="K73" s="14"/>
      <c r="L73" s="15"/>
      <c r="M73" s="15"/>
      <c r="N73" s="14"/>
      <c r="O73" s="14"/>
      <c r="P73" s="14"/>
      <c r="Q73" s="6"/>
      <c r="R73" s="5"/>
      <c r="S73" s="13"/>
      <c r="T73" s="1"/>
      <c r="U73" s="12"/>
      <c r="V73" s="11"/>
      <c r="W73" s="10"/>
      <c r="X73" s="10"/>
      <c r="Y73" s="10"/>
      <c r="Z73" s="10"/>
      <c r="AA73" s="10"/>
      <c r="AB73" s="10"/>
      <c r="AC73" s="1"/>
      <c r="AD73" s="1"/>
      <c r="AE73" s="1"/>
      <c r="AF73" s="9"/>
      <c r="AG73" s="1"/>
      <c r="AH73" s="1"/>
      <c r="AI73" s="8"/>
      <c r="AJ73" s="1"/>
      <c r="AK73" s="7"/>
      <c r="AL73" s="6"/>
      <c r="AM73" s="5"/>
      <c r="AN73" s="4"/>
      <c r="AO73" s="3"/>
      <c r="AP73" s="2"/>
      <c r="AQ73" s="2"/>
      <c r="AR73" s="1"/>
      <c r="AS73" s="1"/>
      <c r="AT73" s="1"/>
    </row>
    <row r="74" spans="1:46" ht="21.6" x14ac:dyDescent="0.45">
      <c r="A74" s="17"/>
      <c r="B74" s="17"/>
      <c r="C74" s="15"/>
      <c r="D74" s="15"/>
      <c r="E74" s="16"/>
      <c r="F74" s="16"/>
      <c r="G74" s="16"/>
      <c r="H74" s="16"/>
      <c r="I74" s="15"/>
      <c r="J74" s="15"/>
      <c r="K74" s="14"/>
      <c r="L74" s="15"/>
      <c r="M74" s="15"/>
      <c r="N74" s="14"/>
      <c r="O74" s="14"/>
      <c r="P74" s="14"/>
      <c r="Q74" s="6"/>
      <c r="R74" s="5"/>
      <c r="S74" s="13"/>
      <c r="T74" s="1"/>
      <c r="U74" s="12"/>
      <c r="V74" s="11"/>
      <c r="W74" s="10"/>
      <c r="X74" s="10"/>
      <c r="Y74" s="10"/>
      <c r="Z74" s="10"/>
      <c r="AA74" s="10"/>
      <c r="AB74" s="10"/>
      <c r="AC74" s="1"/>
      <c r="AD74" s="1"/>
      <c r="AE74" s="1"/>
      <c r="AF74" s="9"/>
      <c r="AG74" s="1"/>
      <c r="AH74" s="1"/>
      <c r="AI74" s="8"/>
      <c r="AJ74" s="1"/>
      <c r="AK74" s="7"/>
      <c r="AL74" s="6"/>
      <c r="AM74" s="5"/>
      <c r="AN74" s="4"/>
      <c r="AO74" s="3"/>
      <c r="AP74" s="2"/>
      <c r="AQ74" s="2"/>
      <c r="AR74" s="1"/>
      <c r="AS74" s="1"/>
      <c r="AT74" s="1"/>
    </row>
  </sheetData>
  <mergeCells count="53">
    <mergeCell ref="B43:B44"/>
    <mergeCell ref="C43:C44"/>
    <mergeCell ref="D43:D44"/>
    <mergeCell ref="B49:B51"/>
    <mergeCell ref="C49:C51"/>
    <mergeCell ref="B34:B36"/>
    <mergeCell ref="C34:C36"/>
    <mergeCell ref="D34:D36"/>
    <mergeCell ref="B37:B39"/>
    <mergeCell ref="C37:C39"/>
    <mergeCell ref="G2:G3"/>
    <mergeCell ref="H2:H3"/>
    <mergeCell ref="K20:L20"/>
    <mergeCell ref="M20:N20"/>
    <mergeCell ref="O20:P20"/>
    <mergeCell ref="B40:B41"/>
    <mergeCell ref="D37:D39"/>
    <mergeCell ref="B52:B53"/>
    <mergeCell ref="C52:C53"/>
    <mergeCell ref="Y2:Z2"/>
    <mergeCell ref="AA2:AB2"/>
    <mergeCell ref="AJ2:AJ3"/>
    <mergeCell ref="B2:B3"/>
    <mergeCell ref="C2:C3"/>
    <mergeCell ref="D2:D3"/>
    <mergeCell ref="E2:E3"/>
    <mergeCell ref="F2:F3"/>
    <mergeCell ref="AK2:AK3"/>
    <mergeCell ref="AL2:AL3"/>
    <mergeCell ref="AO2:AO3"/>
    <mergeCell ref="I2:I3"/>
    <mergeCell ref="J2:J3"/>
    <mergeCell ref="K2:L2"/>
    <mergeCell ref="M2:N2"/>
    <mergeCell ref="O2:P2"/>
    <mergeCell ref="V2:V3"/>
    <mergeCell ref="W2:X2"/>
    <mergeCell ref="A21:A22"/>
    <mergeCell ref="B30:B33"/>
    <mergeCell ref="C30:C33"/>
    <mergeCell ref="D30:D33"/>
    <mergeCell ref="C40:C41"/>
    <mergeCell ref="D40:D41"/>
    <mergeCell ref="K59:Q59"/>
    <mergeCell ref="K62:Q62"/>
    <mergeCell ref="B62:B65"/>
    <mergeCell ref="D62:D64"/>
    <mergeCell ref="B55:B58"/>
    <mergeCell ref="C55:C58"/>
    <mergeCell ref="D55:D58"/>
    <mergeCell ref="B59:B61"/>
    <mergeCell ref="C59:C61"/>
    <mergeCell ref="D59:D61"/>
  </mergeCells>
  <conditionalFormatting sqref="U4:U19 U21:U22">
    <cfRule type="cellIs" dxfId="19" priority="11" operator="between">
      <formula>3.5</formula>
      <formula>12.5</formula>
    </cfRule>
  </conditionalFormatting>
  <conditionalFormatting sqref="U4:U19">
    <cfRule type="cellIs" dxfId="18" priority="12" operator="greaterThan">
      <formula>12.5</formula>
    </cfRule>
    <cfRule type="cellIs" dxfId="17" priority="13" operator="lessThan">
      <formula>3.5</formula>
    </cfRule>
  </conditionalFormatting>
  <conditionalFormatting sqref="U21:U22">
    <cfRule type="cellIs" dxfId="16" priority="7" operator="greaterThan">
      <formula>12.5</formula>
    </cfRule>
    <cfRule type="cellIs" dxfId="15" priority="8" operator="lessThan">
      <formula>3.5</formula>
    </cfRule>
  </conditionalFormatting>
  <conditionalFormatting sqref="W4:AB18">
    <cfRule type="cellIs" dxfId="14" priority="5" operator="greaterThan">
      <formula>16.5</formula>
    </cfRule>
    <cfRule type="cellIs" dxfId="13" priority="6" operator="between">
      <formula>9.5</formula>
      <formula>16.5</formula>
    </cfRule>
    <cfRule type="cellIs" dxfId="12" priority="17" operator="lessThan">
      <formula>9.5</formula>
    </cfRule>
  </conditionalFormatting>
  <conditionalFormatting sqref="W21:AB22">
    <cfRule type="cellIs" dxfId="11" priority="9" operator="between">
      <formula>15.5</formula>
      <formula>32.5</formula>
    </cfRule>
    <cfRule type="cellIs" dxfId="10" priority="10" operator="lessThan">
      <formula>15.5</formula>
    </cfRule>
    <cfRule type="cellIs" dxfId="9" priority="14" operator="greaterThan">
      <formula>32.5</formula>
    </cfRule>
  </conditionalFormatting>
  <conditionalFormatting sqref="X4:X18 Z4:Z18 AB4:AB18 AA10 X21:X22 Z21:Z22 AB21:AB22">
    <cfRule type="cellIs" dxfId="8" priority="18" operator="equal">
      <formula>"ปกติ"</formula>
    </cfRule>
    <cfRule type="cellIs" dxfId="7" priority="19" operator="equal">
      <formula>"ต้องเร่งเติม"</formula>
    </cfRule>
    <cfRule type="cellIs" dxfId="6" priority="20" operator="equal">
      <formula>"ไม่ต้องทำเพิ่ม"</formula>
    </cfRule>
  </conditionalFormatting>
  <conditionalFormatting sqref="AE3:AE9 Q4:Q9 Q11:Q18 AE11:AE18 Q21:Q22">
    <cfRule type="cellIs" dxfId="5" priority="2" operator="greaterThanOrEqual">
      <formula>0</formula>
    </cfRule>
    <cfRule type="cellIs" dxfId="4" priority="3" operator="lessThan">
      <formula>0</formula>
    </cfRule>
  </conditionalFormatting>
  <conditionalFormatting sqref="AH3:AH9 AH11:AH18 AH21:AH22">
    <cfRule type="cellIs" dxfId="3" priority="4" operator="lessThan">
      <formula>0</formula>
    </cfRule>
  </conditionalFormatting>
  <conditionalFormatting sqref="AK4:AK9 AK11:AK18 AK21:AK22">
    <cfRule type="notContainsBlanks" dxfId="2" priority="1">
      <formula>LEN(TRIM(AK4))&gt;0</formula>
    </cfRule>
  </conditionalFormatting>
  <conditionalFormatting sqref="AO4:AO22">
    <cfRule type="cellIs" dxfId="1" priority="15" operator="between">
      <formula>"50%"</formula>
      <formula>"60%"</formula>
    </cfRule>
    <cfRule type="cellIs" dxfId="0" priority="16" operator="greaterThan">
      <formula>"50%"</formula>
    </cfRule>
  </conditionalFormatting>
  <dataValidations count="1">
    <dataValidation type="list" allowBlank="1" showErrorMessage="1" sqref="AC3:AC9 AF3:AF9 AI3:AI9 AC11:AC18 AF11:AF18 AI11:AI18 AC21:AC22 AF21:AF22 AI21:AI22" xr:uid="{00000000-0002-0000-0100-000000000000}">
      <formula1>$AK$4:$AK$26</formula1>
    </dataValidation>
  </dataValidations>
  <printOptions horizontalCentered="1" gridLines="1"/>
  <pageMargins left="0" right="7.3324022346368714E-2" top="0" bottom="0" header="0" footer="0"/>
  <pageSetup paperSize="7" scale="7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 เย็บ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CHAN, Kin Wa</dc:creator>
  <cp:lastModifiedBy>CHAN, Kin Wa</cp:lastModifiedBy>
  <dcterms:created xsi:type="dcterms:W3CDTF">2026-08-18T08:24:20Z</dcterms:created>
  <dcterms:modified xsi:type="dcterms:W3CDTF">2026-08-18T08:24:49Z</dcterms:modified>
</cp:coreProperties>
</file>