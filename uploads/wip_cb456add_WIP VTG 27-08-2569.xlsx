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gadge\Downloads\"/>
    </mc:Choice>
  </mc:AlternateContent>
  <xr:revisionPtr revIDLastSave="0" documentId="8_{C53457CC-5EAD-412B-B57D-3F5D955A64CA}" xr6:coauthVersionLast="47" xr6:coauthVersionMax="47" xr10:uidLastSave="{00000000-0000-0000-0000-000000000000}"/>
  <bookViews>
    <workbookView xWindow="-108" yWindow="-108" windowWidth="23256" windowHeight="13896" xr2:uid="{DDFE17B4-FEE4-47C4-94B5-0B5135EE4F6B}"/>
  </bookViews>
  <sheets>
    <sheet name="WIP เย็บ" sheetId="1" r:id="rId1"/>
  </sheets>
  <definedNames>
    <definedName name="Z_AA3FFEAE_4633_428E_A69C_5D609426713A_.wvu.FilterData" localSheetId="0" hidden="1">'WIP เย็บ'!$B$2:$AK$77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59" i="1" l="1"/>
  <c r="A49" i="1"/>
  <c r="A43" i="1"/>
  <c r="A32" i="1"/>
  <c r="Z22" i="1"/>
  <c r="AS21" i="1"/>
  <c r="AQ21" i="1"/>
  <c r="S21" i="1" s="1"/>
  <c r="T21" i="1"/>
  <c r="I21" i="1"/>
  <c r="G21" i="1"/>
  <c r="E21" i="1"/>
  <c r="U21" i="1" s="1"/>
  <c r="AQ20" i="1"/>
  <c r="T20" i="1"/>
  <c r="E20" i="1"/>
  <c r="U20" i="1" s="1"/>
  <c r="AS19" i="1"/>
  <c r="AR19" i="1"/>
  <c r="AQ19" i="1"/>
  <c r="AP19" i="1"/>
  <c r="AL19" i="1"/>
  <c r="AK19" i="1"/>
  <c r="AH19" i="1"/>
  <c r="AG19" i="1"/>
  <c r="AF19" i="1"/>
  <c r="AE19" i="1"/>
  <c r="AD19" i="1"/>
  <c r="AC19" i="1"/>
  <c r="V19" i="1"/>
  <c r="Q19" i="1"/>
  <c r="O19" i="1"/>
  <c r="M19" i="1"/>
  <c r="K19" i="1"/>
  <c r="J19" i="1"/>
  <c r="I19" i="1"/>
  <c r="H19" i="1"/>
  <c r="G19" i="1"/>
  <c r="F19" i="1"/>
  <c r="E19" i="1"/>
  <c r="D19" i="1"/>
  <c r="C19" i="1"/>
  <c r="B19" i="1"/>
  <c r="Z18" i="1"/>
  <c r="AR17" i="1"/>
  <c r="S17" i="1" s="1"/>
  <c r="T17" i="1"/>
  <c r="H17" i="1"/>
  <c r="Q17" i="1" s="1"/>
  <c r="E17" i="1"/>
  <c r="U17" i="1" s="1"/>
  <c r="AR16" i="1"/>
  <c r="AQ16" i="1"/>
  <c r="S16" i="1" s="1"/>
  <c r="U16" i="1"/>
  <c r="T16" i="1"/>
  <c r="J16" i="1"/>
  <c r="I16" i="1"/>
  <c r="H16" i="1"/>
  <c r="AH16" i="1" s="1"/>
  <c r="G16" i="1"/>
  <c r="F16" i="1"/>
  <c r="E16" i="1"/>
  <c r="T15" i="1"/>
  <c r="E15" i="1"/>
  <c r="J15" i="1" s="1"/>
  <c r="AQ14" i="1"/>
  <c r="T14" i="1"/>
  <c r="I14" i="1"/>
  <c r="G14" i="1"/>
  <c r="E14" i="1"/>
  <c r="U14" i="1" s="1"/>
  <c r="T13" i="1"/>
  <c r="E13" i="1"/>
  <c r="U13" i="1" s="1"/>
  <c r="AR12" i="1"/>
  <c r="S12" i="1" s="1"/>
  <c r="AQ12" i="1"/>
  <c r="U12" i="1"/>
  <c r="T12" i="1"/>
  <c r="J12" i="1"/>
  <c r="I12" i="1"/>
  <c r="H12" i="1"/>
  <c r="AH12" i="1" s="1"/>
  <c r="G12" i="1"/>
  <c r="F12" i="1"/>
  <c r="E12" i="1"/>
  <c r="T11" i="1"/>
  <c r="E11" i="1"/>
  <c r="J11" i="1" s="1"/>
  <c r="AQ9" i="1"/>
  <c r="T9" i="1"/>
  <c r="I9" i="1"/>
  <c r="G9" i="1"/>
  <c r="E9" i="1"/>
  <c r="U9" i="1" s="1"/>
  <c r="AR8" i="1"/>
  <c r="S8" i="1" s="1"/>
  <c r="AQ8" i="1"/>
  <c r="N8" i="1"/>
  <c r="M8" i="1"/>
  <c r="U8" i="1" s="1"/>
  <c r="K8" i="1"/>
  <c r="T8" i="1" s="1"/>
  <c r="J8" i="1"/>
  <c r="I8" i="1"/>
  <c r="H8" i="1"/>
  <c r="G8" i="1"/>
  <c r="F8" i="1"/>
  <c r="E8" i="1"/>
  <c r="U7" i="1"/>
  <c r="T7" i="1"/>
  <c r="J7" i="1"/>
  <c r="E7" i="1"/>
  <c r="I7" i="1" s="1"/>
  <c r="AR6" i="1"/>
  <c r="S6" i="1" s="1"/>
  <c r="U6" i="1"/>
  <c r="T6" i="1"/>
  <c r="H6" i="1"/>
  <c r="Q6" i="1" s="1"/>
  <c r="F6" i="1"/>
  <c r="E6" i="1"/>
  <c r="J6" i="1" s="1"/>
  <c r="AQ5" i="1"/>
  <c r="T5" i="1"/>
  <c r="J5" i="1"/>
  <c r="G5" i="1"/>
  <c r="E5" i="1"/>
  <c r="U5" i="1" s="1"/>
  <c r="AR4" i="1"/>
  <c r="S4" i="1" s="1"/>
  <c r="AQ4" i="1"/>
  <c r="AH4" i="1"/>
  <c r="U4" i="1"/>
  <c r="T4" i="1"/>
  <c r="J4" i="1"/>
  <c r="I4" i="1"/>
  <c r="H4" i="1"/>
  <c r="AE4" i="1" s="1"/>
  <c r="G4" i="1"/>
  <c r="F4" i="1"/>
  <c r="E4" i="1"/>
  <c r="AA4" i="1" l="1"/>
  <c r="AB4" i="1" s="1"/>
  <c r="Y4" i="1"/>
  <c r="Z4" i="1" s="1"/>
  <c r="W4" i="1"/>
  <c r="X4" i="1" s="1"/>
  <c r="Y17" i="1"/>
  <c r="Z17" i="1" s="1"/>
  <c r="W17" i="1"/>
  <c r="X17" i="1" s="1"/>
  <c r="AA17" i="1"/>
  <c r="AB17" i="1" s="1"/>
  <c r="AA21" i="1"/>
  <c r="AB21" i="1" s="1"/>
  <c r="Y21" i="1"/>
  <c r="Z21" i="1" s="1"/>
  <c r="W21" i="1"/>
  <c r="X21" i="1" s="1"/>
  <c r="Y16" i="1"/>
  <c r="Z16" i="1" s="1"/>
  <c r="AA16" i="1"/>
  <c r="AB16" i="1" s="1"/>
  <c r="W16" i="1"/>
  <c r="X16" i="1" s="1"/>
  <c r="Y8" i="1"/>
  <c r="Z8" i="1" s="1"/>
  <c r="W8" i="1"/>
  <c r="X8" i="1" s="1"/>
  <c r="AA8" i="1"/>
  <c r="AB8" i="1" s="1"/>
  <c r="W6" i="1"/>
  <c r="X6" i="1" s="1"/>
  <c r="Y6" i="1"/>
  <c r="Z6" i="1" s="1"/>
  <c r="Y12" i="1"/>
  <c r="Z12" i="1" s="1"/>
  <c r="AA12" i="1"/>
  <c r="AB12" i="1" s="1"/>
  <c r="W12" i="1"/>
  <c r="X12" i="1" s="1"/>
  <c r="AE8" i="1"/>
  <c r="AE17" i="1"/>
  <c r="F20" i="1"/>
  <c r="AH8" i="1"/>
  <c r="U11" i="1"/>
  <c r="F13" i="1"/>
  <c r="U15" i="1"/>
  <c r="F17" i="1"/>
  <c r="AH17" i="1"/>
  <c r="G20" i="1"/>
  <c r="F5" i="1"/>
  <c r="Q12" i="1"/>
  <c r="G13" i="1"/>
  <c r="AQ13" i="1"/>
  <c r="Q16" i="1"/>
  <c r="G17" i="1"/>
  <c r="AQ17" i="1"/>
  <c r="H20" i="1"/>
  <c r="AR20" i="1"/>
  <c r="S20" i="1" s="1"/>
  <c r="Q4" i="1"/>
  <c r="H13" i="1"/>
  <c r="AR13" i="1"/>
  <c r="S13" i="1" s="1"/>
  <c r="I20" i="1"/>
  <c r="AS20" i="1"/>
  <c r="H5" i="1"/>
  <c r="AR5" i="1"/>
  <c r="S5" i="1" s="1"/>
  <c r="I13" i="1"/>
  <c r="I17" i="1"/>
  <c r="J20" i="1"/>
  <c r="I5" i="1"/>
  <c r="AE6" i="1"/>
  <c r="F9" i="1"/>
  <c r="J13" i="1"/>
  <c r="F14" i="1"/>
  <c r="J17" i="1"/>
  <c r="F21" i="1"/>
  <c r="Q8" i="1"/>
  <c r="G6" i="1"/>
  <c r="AQ6" i="1"/>
  <c r="H9" i="1"/>
  <c r="AR9" i="1"/>
  <c r="S9" i="1" s="1"/>
  <c r="H14" i="1"/>
  <c r="AR14" i="1"/>
  <c r="S14" i="1" s="1"/>
  <c r="H21" i="1"/>
  <c r="AR21" i="1"/>
  <c r="I6" i="1"/>
  <c r="AH6" i="1" s="1"/>
  <c r="J9" i="1"/>
  <c r="F11" i="1"/>
  <c r="J14" i="1"/>
  <c r="F15" i="1"/>
  <c r="J21" i="1"/>
  <c r="F7" i="1"/>
  <c r="G11" i="1"/>
  <c r="AQ11" i="1"/>
  <c r="G15" i="1"/>
  <c r="AQ15" i="1"/>
  <c r="G7" i="1"/>
  <c r="AQ7" i="1"/>
  <c r="H11" i="1"/>
  <c r="AR11" i="1"/>
  <c r="S11" i="1" s="1"/>
  <c r="H15" i="1"/>
  <c r="AR15" i="1"/>
  <c r="S15" i="1" s="1"/>
  <c r="H7" i="1"/>
  <c r="AR7" i="1"/>
  <c r="S7" i="1" s="1"/>
  <c r="I11" i="1"/>
  <c r="AE12" i="1"/>
  <c r="I15" i="1"/>
  <c r="AE16" i="1"/>
  <c r="AH11" i="1" l="1"/>
  <c r="AE11" i="1"/>
  <c r="Q11" i="1"/>
  <c r="AA9" i="1"/>
  <c r="AB9" i="1" s="1"/>
  <c r="Y9" i="1"/>
  <c r="Z9" i="1" s="1"/>
  <c r="W9" i="1"/>
  <c r="X9" i="1" s="1"/>
  <c r="Y5" i="1"/>
  <c r="Z5" i="1" s="1"/>
  <c r="W5" i="1"/>
  <c r="X5" i="1" s="1"/>
  <c r="AA5" i="1"/>
  <c r="AB5" i="1" s="1"/>
  <c r="Q20" i="1"/>
  <c r="AH20" i="1"/>
  <c r="AE20" i="1"/>
  <c r="AA7" i="1"/>
  <c r="AB7" i="1" s="1"/>
  <c r="Y7" i="1"/>
  <c r="Z7" i="1" s="1"/>
  <c r="W7" i="1"/>
  <c r="X7" i="1" s="1"/>
  <c r="Q14" i="1"/>
  <c r="AH14" i="1"/>
  <c r="AE14" i="1"/>
  <c r="Q5" i="1"/>
  <c r="AH5" i="1"/>
  <c r="AE5" i="1"/>
  <c r="AA20" i="1"/>
  <c r="AB20" i="1" s="1"/>
  <c r="Y20" i="1"/>
  <c r="Z20" i="1" s="1"/>
  <c r="W20" i="1"/>
  <c r="X20" i="1" s="1"/>
  <c r="Q7" i="1"/>
  <c r="AH7" i="1"/>
  <c r="AE7" i="1"/>
  <c r="AA14" i="1"/>
  <c r="AB14" i="1" s="1"/>
  <c r="Y14" i="1"/>
  <c r="Z14" i="1" s="1"/>
  <c r="W14" i="1"/>
  <c r="X14" i="1" s="1"/>
  <c r="Q9" i="1"/>
  <c r="AH9" i="1"/>
  <c r="AE9" i="1"/>
  <c r="Y13" i="1"/>
  <c r="Z13" i="1" s="1"/>
  <c r="W13" i="1"/>
  <c r="X13" i="1" s="1"/>
  <c r="AA13" i="1"/>
  <c r="AB13" i="1" s="1"/>
  <c r="AA15" i="1"/>
  <c r="AB15" i="1" s="1"/>
  <c r="Y15" i="1"/>
  <c r="Z15" i="1" s="1"/>
  <c r="W15" i="1"/>
  <c r="X15" i="1" s="1"/>
  <c r="AH15" i="1"/>
  <c r="AE15" i="1"/>
  <c r="Q15" i="1"/>
  <c r="Q13" i="1"/>
  <c r="AH13" i="1"/>
  <c r="AE13" i="1"/>
  <c r="AA11" i="1"/>
  <c r="AB11" i="1" s="1"/>
  <c r="Y11" i="1"/>
  <c r="Z11" i="1" s="1"/>
  <c r="W11" i="1"/>
  <c r="X11" i="1" s="1"/>
  <c r="Q21" i="1"/>
  <c r="AH21" i="1"/>
  <c r="AE21" i="1"/>
  <c r="AA6" i="1"/>
  <c r="AB6" i="1" s="1"/>
</calcChain>
</file>

<file path=xl/sharedStrings.xml><?xml version="1.0" encoding="utf-8"?>
<sst xmlns="http://schemas.openxmlformats.org/spreadsheetml/2006/main" count="226" uniqueCount="167">
  <si>
    <t>รายงาน Buffer ประจำวัน 27/08/2569</t>
  </si>
  <si>
    <t>อ.1</t>
  </si>
  <si>
    <t>อ.2</t>
  </si>
  <si>
    <t xml:space="preserve"> </t>
  </si>
  <si>
    <t>เช็คสูตร</t>
  </si>
  <si>
    <t>'</t>
  </si>
  <si>
    <t>นิ//พี่หนู</t>
  </si>
  <si>
    <t>x เป้าเย็บตาม OTP</t>
  </si>
  <si>
    <t>ไลน์เย็บ</t>
  </si>
  <si>
    <t xml:space="preserve">เป้า:ชม
 แผน
OTP 100 
</t>
  </si>
  <si>
    <r>
      <rPr>
        <sz val="11"/>
        <color rgb="FF000000"/>
        <rFont val="Browallia New"/>
      </rPr>
      <t xml:space="preserve">OTP เย็บ
สีแดง= 
</t>
    </r>
    <r>
      <rPr>
        <sz val="11"/>
        <color rgb="FFFF0000"/>
        <rFont val="Browallia New"/>
      </rPr>
      <t>ให้มากกว่าเย็บได้วันก่อน</t>
    </r>
  </si>
  <si>
    <t>เป้า : ชม</t>
  </si>
  <si>
    <t>เป้าวันot</t>
  </si>
  <si>
    <t>เป้าไม่มี OT</t>
  </si>
  <si>
    <t xml:space="preserve">เป้าเช้า </t>
  </si>
  <si>
    <t>เป้าบ่าย</t>
  </si>
  <si>
    <t>เป้า ot</t>
  </si>
  <si>
    <t xml:space="preserve">เช้า </t>
  </si>
  <si>
    <t xml:space="preserve">บ่าย </t>
  </si>
  <si>
    <t xml:space="preserve">OT </t>
  </si>
  <si>
    <t>ขาดเป้าเช้า</t>
  </si>
  <si>
    <t>wipเย็บในไลน์</t>
  </si>
  <si>
    <t>ยอดเย็บวันก่อน</t>
  </si>
  <si>
    <t>ยอดจัดงานรอเบิกเย็บทั้งวัน</t>
  </si>
  <si>
    <t xml:space="preserve">WIP ตัดรอจัดงาน 4-12 ชม
</t>
  </si>
  <si>
    <t>รอตัด</t>
  </si>
  <si>
    <r>
      <rPr>
        <b/>
        <sz val="11"/>
        <color theme="1"/>
        <rFont val="Browallia New"/>
      </rPr>
      <t>LEADTIME</t>
    </r>
    <r>
      <rPr>
        <b/>
        <sz val="12"/>
        <color theme="1"/>
        <rFont val="Browallia New"/>
      </rPr>
      <t xml:space="preserve">
ไลน์เย็บ
ช่วงเช้า
10-16(ชม.)</t>
    </r>
  </si>
  <si>
    <r>
      <rPr>
        <b/>
        <sz val="11"/>
        <color theme="1"/>
        <rFont val="Browallia New"/>
      </rPr>
      <t>LEADTIME</t>
    </r>
    <r>
      <rPr>
        <b/>
        <sz val="12"/>
        <color theme="1"/>
        <rFont val="Browallia New"/>
      </rPr>
      <t xml:space="preserve">
ไลน์เย็บ
ช่วงบ่าย
10-16(ชม.)</t>
    </r>
  </si>
  <si>
    <r>
      <rPr>
        <b/>
        <sz val="11"/>
        <color theme="1"/>
        <rFont val="Browallia New"/>
      </rPr>
      <t>LEADTIME</t>
    </r>
    <r>
      <rPr>
        <b/>
        <sz val="12"/>
        <color theme="1"/>
        <rFont val="Browallia New"/>
      </rPr>
      <t xml:space="preserve">
ไลน์เย็บ
ช่วง OT
 10-16(ชม.)</t>
    </r>
  </si>
  <si>
    <t>สาเหตุที่ไม่ได้เป้าเช้า</t>
  </si>
  <si>
    <t>รายละเอียด</t>
  </si>
  <si>
    <t>ขาดเป้าบ่าย</t>
  </si>
  <si>
    <t>สาเหตุที่ไม่ได้เป้าบ่าย</t>
  </si>
  <si>
    <t>ขาดเป้าot (ครบวัน)</t>
  </si>
  <si>
    <t xml:space="preserve">สาเหตุที่ไม่ได้เป้าot </t>
  </si>
  <si>
    <t>รายละเอียด ot</t>
  </si>
  <si>
    <t>ข้อมูลสาเหตุห้ามลบ</t>
  </si>
  <si>
    <t>ตัดรอจัดงาน</t>
  </si>
  <si>
    <t xml:space="preserve">add ตัดรอจัดงานครบตัว </t>
  </si>
  <si>
    <t>add wip จัดงานรอเบิกเย็บ</t>
  </si>
  <si>
    <t>OTP เย็บ 
2708</t>
  </si>
  <si>
    <t>ot</t>
  </si>
  <si>
    <t>ไม่มี ot</t>
  </si>
  <si>
    <t>สถานะ</t>
  </si>
  <si>
    <t xml:space="preserve">วารินทร์ / </t>
  </si>
  <si>
    <t xml:space="preserve">26-0388-2 T.12=180
</t>
  </si>
  <si>
    <t>26-0388-2 T.13=96
26-0388-2 T.14=180</t>
  </si>
  <si>
    <t>26-0388-2 T.5=180</t>
  </si>
  <si>
    <t>กระจายไลน์</t>
  </si>
  <si>
    <t xml:space="preserve">พิไลย์ / </t>
  </si>
  <si>
    <t xml:space="preserve">26-0385-1 T.13=180 </t>
  </si>
  <si>
    <t xml:space="preserve">26-0385-1 T.14=180 </t>
  </si>
  <si>
    <t>รอจัดงาน</t>
  </si>
  <si>
    <t>26-0385-1 T4=120 รอจัดงาน</t>
  </si>
  <si>
    <t>รอปัก</t>
  </si>
  <si>
    <t>วงเดือน /</t>
  </si>
  <si>
    <t xml:space="preserve">25-0630-1  T.13=120 
25-0630-1  T.14=120 
25-0630-1  T.15=120 </t>
  </si>
  <si>
    <t xml:space="preserve">25-0630-1  T.16=120 
25-0630-1  T.18=80  รอปักอกซ้าย นัดเบิก 15.00
</t>
  </si>
  <si>
    <t>รอฟิวล์</t>
  </si>
  <si>
    <t>25-0630-1  T.10=120</t>
  </si>
  <si>
    <t>จินตนา  /</t>
  </si>
  <si>
    <t xml:space="preserve">25-0639-3 T.17=180 </t>
  </si>
  <si>
    <t xml:space="preserve">25-0639-3 T.18=180 </t>
  </si>
  <si>
    <t xml:space="preserve">25-0639-3 T.12=220 
</t>
  </si>
  <si>
    <t>รอพิมพ์</t>
  </si>
  <si>
    <t xml:space="preserve">ส้ม / </t>
  </si>
  <si>
    <t xml:space="preserve">26-0472-1  จบ CW 20 = 169
</t>
  </si>
  <si>
    <t>26-0472-1 T.9=240  CW 19</t>
  </si>
  <si>
    <t>ปัญญาพร /</t>
  </si>
  <si>
    <t>26-0388-1 T.9=180</t>
  </si>
  <si>
    <t>26-0388-1 T.7=180</t>
  </si>
  <si>
    <t>26-0388-1 T.3=180</t>
  </si>
  <si>
    <t>บ่ายไม่เบิก</t>
  </si>
  <si>
    <t>เช้าไม่เบิก</t>
  </si>
  <si>
    <t xml:space="preserve">สัมฤทธิ์ / </t>
  </si>
  <si>
    <t>26-0392-1 T.5-7,3=270+80+22+21</t>
  </si>
  <si>
    <t>26-0392-1 T.7,3=80+22+21/จบjob
26-0392-2 T.1=200</t>
  </si>
  <si>
    <t>รอตัดครบตัว</t>
  </si>
  <si>
    <t>นิชารัศ /</t>
  </si>
  <si>
    <t>26-0383-1 T.5=180
26-0383-1 T.6=114</t>
  </si>
  <si>
    <t>26-0383-1 T.7=180</t>
  </si>
  <si>
    <t>รอเรียงวีราเน่</t>
  </si>
  <si>
    <t xml:space="preserve">ราตรี / </t>
  </si>
  <si>
    <t>25-0621-3 T.3,4=96+120</t>
  </si>
  <si>
    <t>25-0621-3 T.4=240</t>
  </si>
  <si>
    <t>รอจัดงานส่งงานเรียง</t>
  </si>
  <si>
    <t xml:space="preserve">สายรุ้ง / </t>
  </si>
  <si>
    <t xml:space="preserve">25-0655-5T.1=200
</t>
  </si>
  <si>
    <t>25-0655-5T.2=220
25-0655-5T.3=220 รอปักอกซ้าย</t>
  </si>
  <si>
    <t>จัดงานส่งปักช้า</t>
  </si>
  <si>
    <t>รำไพ /</t>
  </si>
  <si>
    <t>26-0335-1 T.11,12=80+80</t>
  </si>
  <si>
    <r>
      <rPr>
        <sz val="14"/>
        <color rgb="FF000000"/>
        <rFont val="Cordia New"/>
      </rPr>
      <t>26-0335-1 T.13=68 พร้อมส่ง
26-0335-1 T.14=80 พร้อมส่ง
26-0335-1 T.14,15,16=80+</t>
    </r>
    <r>
      <rPr>
        <sz val="14"/>
        <color rgb="FF000000"/>
        <rFont val="Cordia New"/>
      </rPr>
      <t>14+40</t>
    </r>
  </si>
  <si>
    <t>รอ Pad Print</t>
  </si>
  <si>
    <t>LC1</t>
  </si>
  <si>
    <t xml:space="preserve">อรอนงค์ / </t>
  </si>
  <si>
    <t>26-0302-2 T.,2.4=80*2
26-0302-2 T.5,6=80*2</t>
  </si>
  <si>
    <t>26-0302-2 T.5,6=80+80
ขอซับใน 201 T5,6</t>
  </si>
  <si>
    <t>รอตัดฟองน้ำ</t>
  </si>
  <si>
    <t>สำราญ / 70</t>
  </si>
  <si>
    <t>26-0683-2 T.10=280</t>
  </si>
  <si>
    <t>26-0683-2 T.11.12.13=280+140+16</t>
  </si>
  <si>
    <t>รอตัดเก็บเศษ</t>
  </si>
  <si>
    <t>WIP ตัดรอจัดงาน 4-12 ชม</t>
  </si>
  <si>
    <t>LEADTIME
ไลน์เย็บ
ช่วงเช้า
16-32(ชม.)</t>
  </si>
  <si>
    <t>LEADTIME
ไลน์เย็บ
ช่วงบ่าย
16-32(ชม.)</t>
  </si>
  <si>
    <t>LEADTIME
ไลน์เย็บ
ช่วง OT
16-32(ชม.)</t>
  </si>
  <si>
    <t>ฟองน้ำ 
งาน Montbell</t>
  </si>
  <si>
    <t xml:space="preserve">นิภาพร + ชุติมันต์ </t>
  </si>
  <si>
    <t>25-0760-2 T.2,3,4=200+93</t>
  </si>
  <si>
    <t xml:space="preserve">25-0760-3 T.1= 60 
</t>
  </si>
  <si>
    <t>LC2</t>
  </si>
  <si>
    <t xml:space="preserve">นวลจันทร์+สุพิศ/ </t>
  </si>
  <si>
    <t>25-0651-3 T.9=200</t>
  </si>
  <si>
    <r>
      <rPr>
        <sz val="14"/>
        <color rgb="FF000000"/>
        <rFont val="Cordia New"/>
      </rPr>
      <t xml:space="preserve">25-0651-3 T.10=200
25-0651-3 T.12=200 </t>
    </r>
    <r>
      <rPr>
        <sz val="14"/>
        <color rgb="FFFF0000"/>
        <rFont val="Cordia New"/>
      </rPr>
      <t xml:space="preserve"> </t>
    </r>
  </si>
  <si>
    <t>รอตรวจ</t>
  </si>
  <si>
    <t>VS02+06</t>
  </si>
  <si>
    <t>VS08+11</t>
  </si>
  <si>
    <t>VSEW001</t>
  </si>
  <si>
    <t>ไลน์</t>
  </si>
  <si>
    <t>job</t>
  </si>
  <si>
    <t>ตำแหน่ง</t>
  </si>
  <si>
    <t xml:space="preserve">โต๊ะ </t>
  </si>
  <si>
    <t>จำนวน</t>
  </si>
  <si>
    <t>รอเก็บ</t>
  </si>
  <si>
    <t>พร้อมเบิก</t>
  </si>
  <si>
    <t>VSEW003</t>
  </si>
  <si>
    <t>เครื่อง 1</t>
  </si>
  <si>
    <t>จินตนา</t>
  </si>
  <si>
    <t>25-0639-3</t>
  </si>
  <si>
    <t>ปกนอก</t>
  </si>
  <si>
    <t>VSEW004</t>
  </si>
  <si>
    <t>VSEW005</t>
  </si>
  <si>
    <t>VSEW007</t>
  </si>
  <si>
    <t>สายรุ้ง</t>
  </si>
  <si>
    <t>25-0630-1</t>
  </si>
  <si>
    <t>VSEW015</t>
  </si>
  <si>
    <t>VSEW009</t>
  </si>
  <si>
    <t>VSEW010</t>
  </si>
  <si>
    <t>VSEW012</t>
  </si>
  <si>
    <t>VSEW013</t>
  </si>
  <si>
    <t>เครื่อง 2</t>
  </si>
  <si>
    <t>ส้ม</t>
  </si>
  <si>
    <t>26-0472</t>
  </si>
  <si>
    <t>ตาไก่</t>
  </si>
  <si>
    <t>VSEW014</t>
  </si>
  <si>
    <t>VSEW016</t>
  </si>
  <si>
    <t>ไลน์ 17</t>
  </si>
  <si>
    <t>26-0683-2</t>
  </si>
  <si>
    <t>ผ้าพันคอ</t>
  </si>
  <si>
    <t>VSEW017</t>
  </si>
  <si>
    <t>เครื่อง 3</t>
  </si>
  <si>
    <t>รำไพ</t>
  </si>
  <si>
    <t>26-0335-1</t>
  </si>
  <si>
    <t>แขน</t>
  </si>
  <si>
    <t>เป้าเช้า</t>
  </si>
  <si>
    <t>ราตรี</t>
  </si>
  <si>
    <t xml:space="preserve"> 25-0621-3</t>
  </si>
  <si>
    <t>ขาหลัง</t>
  </si>
  <si>
    <t>เป้าเช้้า</t>
  </si>
  <si>
    <t>เครื่อง 5</t>
  </si>
  <si>
    <t>นวลจันทร์</t>
  </si>
  <si>
    <t>25-0651-3</t>
  </si>
  <si>
    <t>กระเป๋า</t>
  </si>
  <si>
    <t>วงเดือน</t>
  </si>
  <si>
    <t>อกซ้าย</t>
  </si>
  <si>
    <t>25-0655-4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</si>
</sst>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"/>
  </numFmts>
  <fonts count="55" x14ac:knownFonts="1">
    <font>
      <sz val="10"/>
      <color rgb="FF000000"/>
      <name val="Arial"/>
      <scheme val="minor"/>
    </font>
    <font>
      <sz val="12"/>
      <color theme="1"/>
      <name val="Browallia New"/>
    </font>
    <font>
      <sz val="12"/>
      <color rgb="FF000000"/>
      <name val="Browallia New"/>
    </font>
    <font>
      <sz val="11"/>
      <color theme="1"/>
      <name val="Browallia New"/>
    </font>
    <font>
      <sz val="12"/>
      <color rgb="FFFF0000"/>
      <name val="Browallia New"/>
    </font>
    <font>
      <sz val="15"/>
      <color theme="1"/>
      <name val="Browallia New"/>
    </font>
    <font>
      <sz val="11"/>
      <color rgb="FF000000"/>
      <name val="Browallia New"/>
    </font>
    <font>
      <sz val="11"/>
      <color rgb="FFFF0000"/>
      <name val="Browallia New"/>
    </font>
    <font>
      <b/>
      <sz val="13"/>
      <color theme="1"/>
      <name val="Browallia New"/>
    </font>
    <font>
      <sz val="10"/>
      <name val="Arial"/>
    </font>
    <font>
      <b/>
      <sz val="13"/>
      <color rgb="FF000000"/>
      <name val="Browallia New"/>
    </font>
    <font>
      <b/>
      <sz val="11"/>
      <color rgb="FF008000"/>
      <name val="Browallia New"/>
    </font>
    <font>
      <b/>
      <sz val="12"/>
      <color theme="1"/>
      <name val="Browallia New"/>
    </font>
    <font>
      <b/>
      <sz val="12"/>
      <color rgb="FF000000"/>
      <name val="Browallia New"/>
    </font>
    <font>
      <b/>
      <sz val="15"/>
      <color theme="1"/>
      <name val="Browallia New"/>
    </font>
    <font>
      <b/>
      <sz val="11"/>
      <color theme="1"/>
      <name val="Browallia New"/>
    </font>
    <font>
      <b/>
      <sz val="14"/>
      <color rgb="FFFF0000"/>
      <name val="Browallia New"/>
    </font>
    <font>
      <b/>
      <sz val="12"/>
      <color rgb="FFFF0000"/>
      <name val="Browallia New"/>
    </font>
    <font>
      <sz val="13"/>
      <color rgb="FF000000"/>
      <name val="Browallia New"/>
    </font>
    <font>
      <sz val="13"/>
      <color rgb="FFFFFFFF"/>
      <name val="Browallia New"/>
    </font>
    <font>
      <b/>
      <sz val="11"/>
      <color rgb="FF000000"/>
      <name val="Browallia New"/>
    </font>
    <font>
      <b/>
      <sz val="14"/>
      <color rgb="FFFFFFFF"/>
      <name val="Browallia New"/>
    </font>
    <font>
      <sz val="14"/>
      <color theme="1"/>
      <name val="Cordia New"/>
    </font>
    <font>
      <sz val="11"/>
      <color rgb="FFFFFFFF"/>
      <name val="Browallia New"/>
    </font>
    <font>
      <sz val="12"/>
      <color rgb="FF0000FF"/>
      <name val="Browallia New"/>
    </font>
    <font>
      <sz val="12"/>
      <color rgb="FF008000"/>
      <name val="Browallia New"/>
    </font>
    <font>
      <sz val="14"/>
      <color rgb="FF000000"/>
      <name val="Cordia New"/>
    </font>
    <font>
      <sz val="13"/>
      <color rgb="FFFF0000"/>
      <name val="Browallia New"/>
    </font>
    <font>
      <sz val="10"/>
      <color theme="1"/>
      <name val="Arial"/>
    </font>
    <font>
      <sz val="10"/>
      <color rgb="FF000000"/>
      <name val="Arial"/>
    </font>
    <font>
      <sz val="12"/>
      <color rgb="FF666666"/>
      <name val="Browallia New"/>
    </font>
    <font>
      <sz val="10"/>
      <color theme="1"/>
      <name val="Browallia New"/>
    </font>
    <font>
      <sz val="10"/>
      <color rgb="FF000000"/>
      <name val="Browallia New"/>
    </font>
    <font>
      <sz val="11"/>
      <color rgb="FF000000"/>
      <name val="Cordia New"/>
    </font>
    <font>
      <sz val="15"/>
      <color rgb="FF000000"/>
      <name val="Browallia New"/>
    </font>
    <font>
      <sz val="15"/>
      <color rgb="FFFF0000"/>
      <name val="Browallia New"/>
    </font>
    <font>
      <b/>
      <sz val="9"/>
      <color theme="1"/>
      <name val="Browallia New"/>
    </font>
    <font>
      <b/>
      <sz val="12"/>
      <color rgb="FF008000"/>
      <name val="Browallia New"/>
    </font>
    <font>
      <sz val="11"/>
      <color rgb="FF0000FF"/>
      <name val="Browallia New"/>
    </font>
    <font>
      <sz val="10"/>
      <color rgb="FFFF0000"/>
      <name val="Arial"/>
    </font>
    <font>
      <sz val="14"/>
      <color rgb="FFFF0000"/>
      <name val="Cordia New"/>
    </font>
    <font>
      <u/>
      <sz val="12"/>
      <color theme="1"/>
      <name val="Browallia New"/>
    </font>
    <font>
      <sz val="10"/>
      <color theme="1"/>
      <name val="Arial"/>
      <scheme val="minor"/>
    </font>
    <font>
      <b/>
      <sz val="12"/>
      <color theme="1"/>
      <name val="Angsana New"/>
    </font>
    <font>
      <b/>
      <sz val="14"/>
      <color theme="1"/>
      <name val="Browallia New"/>
    </font>
    <font>
      <b/>
      <sz val="12"/>
      <color rgb="FF000000"/>
      <name val="Angsana New"/>
    </font>
    <font>
      <sz val="13"/>
      <color rgb="FFFF0000"/>
      <name val="Arial"/>
    </font>
    <font>
      <b/>
      <sz val="15"/>
      <color theme="1"/>
      <name val="Angsana New"/>
    </font>
    <font>
      <sz val="14"/>
      <color theme="1"/>
      <name val="Browallia New"/>
    </font>
    <font>
      <b/>
      <sz val="13"/>
      <color theme="1"/>
      <name val="Angsana New"/>
    </font>
    <font>
      <b/>
      <sz val="13"/>
      <color rgb="FF000000"/>
      <name val="Angsana New"/>
    </font>
    <font>
      <sz val="15"/>
      <color rgb="FFFF0000"/>
      <name val="Arial"/>
    </font>
    <font>
      <sz val="13"/>
      <color rgb="FF0000FF"/>
      <name val="Arial"/>
    </font>
    <font>
      <sz val="14"/>
      <color rgb="FFFF0000"/>
      <name val="Arial"/>
    </font>
    <font>
      <b/>
      <sz val="14"/>
      <color rgb="FF000000"/>
      <name val="Browallia New"/>
    </font>
  </fonts>
  <fills count="21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AD1DC"/>
        <bgColor rgb="FFEAD1DC"/>
      </patternFill>
    </fill>
    <fill>
      <patternFill patternType="solid">
        <fgColor rgb="FF99CCFF"/>
        <bgColor rgb="FF99CCFF"/>
      </patternFill>
    </fill>
    <fill>
      <patternFill patternType="solid">
        <fgColor rgb="FFF3F3F3"/>
        <bgColor rgb="FFF3F3F3"/>
      </patternFill>
    </fill>
    <fill>
      <patternFill patternType="solid">
        <fgColor rgb="FFFF0000"/>
        <bgColor rgb="FFFF0000"/>
      </patternFill>
    </fill>
    <fill>
      <patternFill patternType="solid">
        <fgColor rgb="FFFFCC99"/>
        <bgColor rgb="FFFFCC99"/>
      </patternFill>
    </fill>
    <fill>
      <patternFill patternType="solid">
        <fgColor rgb="FFCCFFFF"/>
        <bgColor rgb="FFCCFFFF"/>
      </patternFill>
    </fill>
    <fill>
      <patternFill patternType="solid">
        <fgColor rgb="FFEFEFEF"/>
        <bgColor rgb="FFEFEFEF"/>
      </patternFill>
    </fill>
    <fill>
      <patternFill patternType="solid">
        <fgColor rgb="FFFFFFCC"/>
        <bgColor rgb="FFFFFFCC"/>
      </patternFill>
    </fill>
    <fill>
      <patternFill patternType="solid">
        <fgColor rgb="FFCCFFCC"/>
        <bgColor rgb="FFCCFFCC"/>
      </patternFill>
    </fill>
    <fill>
      <patternFill patternType="solid">
        <fgColor rgb="FFFFFF99"/>
        <bgColor rgb="FFFFFF99"/>
      </patternFill>
    </fill>
    <fill>
      <patternFill patternType="solid">
        <fgColor rgb="FF980000"/>
        <bgColor rgb="FF980000"/>
      </patternFill>
    </fill>
    <fill>
      <patternFill patternType="solid">
        <fgColor rgb="FF00FFFF"/>
        <bgColor rgb="FF00FFFF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000000"/>
        <bgColor rgb="FF000000"/>
      </patternFill>
    </fill>
    <fill>
      <patternFill patternType="solid">
        <fgColor rgb="FF434343"/>
        <bgColor rgb="FF434343"/>
      </patternFill>
    </fill>
    <fill>
      <patternFill patternType="solid">
        <fgColor rgb="FFCC0000"/>
        <bgColor rgb="FFCC0000"/>
      </patternFill>
    </fill>
    <fill>
      <patternFill patternType="solid">
        <fgColor theme="0"/>
        <bgColor theme="0"/>
      </patternFill>
    </fill>
  </fills>
  <borders count="6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medium">
        <color rgb="FF000000"/>
      </left>
      <right/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double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/>
      <right style="thick">
        <color rgb="FF000000"/>
      </right>
      <top style="thin">
        <color rgb="FF000000"/>
      </top>
      <bottom style="double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double">
        <color rgb="FF000000"/>
      </left>
      <right/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/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ck">
        <color rgb="FF000000"/>
      </right>
      <top style="thin">
        <color rgb="FF000000"/>
      </top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/>
      <diagonal/>
    </border>
    <border>
      <left style="thin">
        <color rgb="FF000000"/>
      </left>
      <right style="thin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medium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/>
      <diagonal/>
    </border>
    <border>
      <left style="thick">
        <color rgb="FF000000"/>
      </left>
      <right style="thin">
        <color rgb="FF000000"/>
      </right>
      <top/>
      <bottom/>
      <diagonal/>
    </border>
    <border>
      <left style="thick">
        <color rgb="FF000000"/>
      </left>
      <right style="thin">
        <color rgb="FF000000"/>
      </right>
      <top/>
      <bottom style="thick">
        <color rgb="FF000000"/>
      </bottom>
      <diagonal/>
    </border>
  </borders>
  <cellStyleXfs count="1">
    <xf numFmtId="0" fontId="0" fillId="0" borderId="0"/>
  </cellStyleXfs>
  <cellXfs count="340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164" fontId="1" fillId="2" borderId="1" xfId="0" applyNumberFormat="1" applyFont="1" applyFill="1" applyBorder="1" applyAlignment="1">
      <alignment vertical="center"/>
    </xf>
    <xf numFmtId="164" fontId="1" fillId="2" borderId="1" xfId="0" applyNumberFormat="1" applyFont="1" applyFill="1" applyBorder="1" applyAlignment="1">
      <alignment horizontal="center" vertical="center"/>
    </xf>
    <xf numFmtId="3" fontId="1" fillId="2" borderId="1" xfId="0" applyNumberFormat="1" applyFont="1" applyFill="1" applyBorder="1" applyAlignment="1">
      <alignment horizontal="center" vertical="center"/>
    </xf>
    <xf numFmtId="3" fontId="1" fillId="3" borderId="1" xfId="0" applyNumberFormat="1" applyFont="1" applyFill="1" applyBorder="1" applyAlignment="1">
      <alignment horizontal="center" vertical="center"/>
    </xf>
    <xf numFmtId="3" fontId="1" fillId="4" borderId="1" xfId="0" applyNumberFormat="1" applyFont="1" applyFill="1" applyBorder="1" applyAlignment="1">
      <alignment horizontal="center" vertical="center"/>
    </xf>
    <xf numFmtId="3" fontId="1" fillId="2" borderId="1" xfId="0" applyNumberFormat="1" applyFont="1" applyFill="1" applyBorder="1" applyAlignment="1">
      <alignment vertical="center"/>
    </xf>
    <xf numFmtId="3" fontId="2" fillId="2" borderId="1" xfId="0" applyNumberFormat="1" applyFont="1" applyFill="1" applyBorder="1" applyAlignment="1">
      <alignment horizontal="center" vertical="center"/>
    </xf>
    <xf numFmtId="3" fontId="1" fillId="2" borderId="2" xfId="0" applyNumberFormat="1" applyFont="1" applyFill="1" applyBorder="1" applyAlignment="1">
      <alignment vertical="center"/>
    </xf>
    <xf numFmtId="3" fontId="1" fillId="2" borderId="2" xfId="0" applyNumberFormat="1" applyFont="1" applyFill="1" applyBorder="1"/>
    <xf numFmtId="4" fontId="2" fillId="5" borderId="2" xfId="0" applyNumberFormat="1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center"/>
    </xf>
    <xf numFmtId="4" fontId="1" fillId="5" borderId="2" xfId="0" applyNumberFormat="1" applyFont="1" applyFill="1" applyBorder="1" applyAlignment="1">
      <alignment horizontal="center"/>
    </xf>
    <xf numFmtId="4" fontId="1" fillId="2" borderId="1" xfId="0" applyNumberFormat="1" applyFont="1" applyFill="1" applyBorder="1" applyAlignment="1">
      <alignment vertical="center"/>
    </xf>
    <xf numFmtId="3" fontId="1" fillId="6" borderId="1" xfId="0" applyNumberFormat="1" applyFont="1" applyFill="1" applyBorder="1" applyAlignment="1">
      <alignment vertical="center"/>
    </xf>
    <xf numFmtId="3" fontId="4" fillId="2" borderId="1" xfId="0" applyNumberFormat="1" applyFont="1" applyFill="1" applyBorder="1" applyAlignment="1">
      <alignment horizontal="center" vertical="center"/>
    </xf>
    <xf numFmtId="3" fontId="4" fillId="2" borderId="1" xfId="0" applyNumberFormat="1" applyFont="1" applyFill="1" applyBorder="1" applyAlignment="1">
      <alignment horizontal="left" vertical="center"/>
    </xf>
    <xf numFmtId="0" fontId="1" fillId="7" borderId="1" xfId="0" quotePrefix="1" applyFont="1" applyFill="1" applyBorder="1"/>
    <xf numFmtId="3" fontId="2" fillId="2" borderId="1" xfId="0" applyNumberFormat="1" applyFont="1" applyFill="1" applyBorder="1"/>
    <xf numFmtId="10" fontId="5" fillId="2" borderId="1" xfId="0" applyNumberFormat="1" applyFont="1" applyFill="1" applyBorder="1" applyAlignment="1">
      <alignment vertical="center"/>
    </xf>
    <xf numFmtId="0" fontId="5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6" fillId="8" borderId="2" xfId="0" applyFont="1" applyFill="1" applyBorder="1" applyAlignment="1">
      <alignment horizontal="center" vertical="center" wrapText="1"/>
    </xf>
    <xf numFmtId="0" fontId="6" fillId="9" borderId="2" xfId="0" applyFont="1" applyFill="1" applyBorder="1" applyAlignment="1">
      <alignment horizontal="center" vertical="center" wrapText="1"/>
    </xf>
    <xf numFmtId="0" fontId="6" fillId="10" borderId="2" xfId="0" applyFont="1" applyFill="1" applyBorder="1" applyAlignment="1">
      <alignment horizontal="center" vertical="center" wrapText="1"/>
    </xf>
    <xf numFmtId="0" fontId="6" fillId="10" borderId="0" xfId="0" applyFont="1" applyFill="1" applyAlignment="1">
      <alignment horizontal="center" vertical="center" wrapText="1"/>
    </xf>
    <xf numFmtId="3" fontId="8" fillId="8" borderId="3" xfId="0" applyNumberFormat="1" applyFont="1" applyFill="1" applyBorder="1" applyAlignment="1">
      <alignment horizontal="center" vertical="center" wrapText="1"/>
    </xf>
    <xf numFmtId="0" fontId="9" fillId="0" borderId="4" xfId="0" applyFont="1" applyBorder="1"/>
    <xf numFmtId="3" fontId="10" fillId="8" borderId="5" xfId="0" applyNumberFormat="1" applyFont="1" applyFill="1" applyBorder="1" applyAlignment="1">
      <alignment horizontal="center" vertical="center" wrapText="1"/>
    </xf>
    <xf numFmtId="0" fontId="9" fillId="0" borderId="6" xfId="0" applyFont="1" applyBorder="1"/>
    <xf numFmtId="3" fontId="11" fillId="11" borderId="2" xfId="0" applyNumberFormat="1" applyFont="1" applyFill="1" applyBorder="1" applyAlignment="1">
      <alignment horizontal="center" vertical="center" wrapText="1"/>
    </xf>
    <xf numFmtId="4" fontId="12" fillId="5" borderId="2" xfId="0" applyNumberFormat="1" applyFont="1" applyFill="1" applyBorder="1" applyAlignment="1">
      <alignment horizontal="center" vertical="center" wrapText="1"/>
    </xf>
    <xf numFmtId="4" fontId="13" fillId="5" borderId="7" xfId="0" applyNumberFormat="1" applyFont="1" applyFill="1" applyBorder="1" applyAlignment="1">
      <alignment horizontal="center" vertical="center" wrapText="1"/>
    </xf>
    <xf numFmtId="4" fontId="13" fillId="12" borderId="2" xfId="0" applyNumberFormat="1" applyFont="1" applyFill="1" applyBorder="1" applyAlignment="1">
      <alignment horizontal="center" vertical="center" wrapText="1"/>
    </xf>
    <xf numFmtId="4" fontId="13" fillId="8" borderId="2" xfId="0" applyNumberFormat="1" applyFont="1" applyFill="1" applyBorder="1" applyAlignment="1">
      <alignment horizontal="center" vertical="center" wrapText="1"/>
    </xf>
    <xf numFmtId="4" fontId="14" fillId="5" borderId="2" xfId="0" applyNumberFormat="1" applyFont="1" applyFill="1" applyBorder="1" applyAlignment="1">
      <alignment horizontal="center" vertical="center" wrapText="1"/>
    </xf>
    <xf numFmtId="4" fontId="12" fillId="5" borderId="7" xfId="0" applyNumberFormat="1" applyFont="1" applyFill="1" applyBorder="1" applyAlignment="1">
      <alignment horizontal="center" vertical="center" wrapText="1"/>
    </xf>
    <xf numFmtId="0" fontId="9" fillId="0" borderId="8" xfId="0" applyFont="1" applyBorder="1"/>
    <xf numFmtId="4" fontId="16" fillId="2" borderId="9" xfId="0" applyNumberFormat="1" applyFont="1" applyFill="1" applyBorder="1" applyAlignment="1">
      <alignment horizontal="center" vertical="center" wrapText="1"/>
    </xf>
    <xf numFmtId="4" fontId="14" fillId="5" borderId="2" xfId="0" applyNumberFormat="1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3" fontId="17" fillId="2" borderId="1" xfId="0" applyNumberFormat="1" applyFont="1" applyFill="1" applyBorder="1" applyAlignment="1">
      <alignment horizontal="center" vertical="center" wrapText="1"/>
    </xf>
    <xf numFmtId="0" fontId="18" fillId="2" borderId="0" xfId="0" applyFont="1" applyFill="1" applyAlignment="1">
      <alignment horizontal="center" vertical="center" wrapText="1"/>
    </xf>
    <xf numFmtId="0" fontId="19" fillId="13" borderId="0" xfId="0" applyFont="1" applyFill="1" applyAlignment="1">
      <alignment horizontal="center" vertical="center" wrapText="1"/>
    </xf>
    <xf numFmtId="0" fontId="6" fillId="11" borderId="10" xfId="0" applyFont="1" applyFill="1" applyBorder="1" applyAlignment="1">
      <alignment horizontal="center" vertical="center" wrapText="1"/>
    </xf>
    <xf numFmtId="3" fontId="20" fillId="14" borderId="1" xfId="0" applyNumberFormat="1" applyFont="1" applyFill="1" applyBorder="1" applyAlignment="1">
      <alignment horizontal="center" vertical="center" wrapText="1"/>
    </xf>
    <xf numFmtId="3" fontId="20" fillId="15" borderId="11" xfId="0" applyNumberFormat="1" applyFont="1" applyFill="1" applyBorder="1" applyAlignment="1">
      <alignment horizontal="center" vertical="center" wrapText="1"/>
    </xf>
    <xf numFmtId="0" fontId="6" fillId="16" borderId="10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3" fontId="4" fillId="2" borderId="0" xfId="0" applyNumberFormat="1" applyFont="1" applyFill="1" applyAlignment="1">
      <alignment vertical="center" wrapText="1"/>
    </xf>
    <xf numFmtId="0" fontId="1" fillId="2" borderId="0" xfId="0" applyFont="1" applyFill="1" applyAlignment="1">
      <alignment horizontal="center" vertical="center"/>
    </xf>
    <xf numFmtId="0" fontId="9" fillId="0" borderId="12" xfId="0" applyFont="1" applyBorder="1"/>
    <xf numFmtId="0" fontId="9" fillId="0" borderId="13" xfId="0" applyFont="1" applyBorder="1"/>
    <xf numFmtId="20" fontId="1" fillId="2" borderId="14" xfId="0" applyNumberFormat="1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20" fontId="2" fillId="2" borderId="16" xfId="0" applyNumberFormat="1" applyFont="1" applyFill="1" applyBorder="1" applyAlignment="1">
      <alignment horizontal="center" vertical="center"/>
    </xf>
    <xf numFmtId="0" fontId="2" fillId="2" borderId="17" xfId="0" applyFont="1" applyFill="1" applyBorder="1" applyAlignment="1">
      <alignment horizontal="center" vertical="center"/>
    </xf>
    <xf numFmtId="0" fontId="2" fillId="2" borderId="18" xfId="0" applyFont="1" applyFill="1" applyBorder="1" applyAlignment="1">
      <alignment horizontal="center" vertical="center"/>
    </xf>
    <xf numFmtId="3" fontId="11" fillId="11" borderId="12" xfId="0" applyNumberFormat="1" applyFont="1" applyFill="1" applyBorder="1" applyAlignment="1">
      <alignment horizontal="center" vertical="center" wrapText="1"/>
    </xf>
    <xf numFmtId="4" fontId="12" fillId="5" borderId="12" xfId="0" applyNumberFormat="1" applyFont="1" applyFill="1" applyBorder="1" applyAlignment="1">
      <alignment horizontal="center" vertical="center" wrapText="1"/>
    </xf>
    <xf numFmtId="4" fontId="13" fillId="5" borderId="19" xfId="0" applyNumberFormat="1" applyFont="1" applyFill="1" applyBorder="1" applyAlignment="1">
      <alignment horizontal="center" vertical="center" wrapText="1"/>
    </xf>
    <xf numFmtId="4" fontId="13" fillId="12" borderId="12" xfId="0" applyNumberFormat="1" applyFont="1" applyFill="1" applyBorder="1" applyAlignment="1">
      <alignment horizontal="center" vertical="center" wrapText="1"/>
    </xf>
    <xf numFmtId="4" fontId="13" fillId="8" borderId="12" xfId="0" applyNumberFormat="1" applyFont="1" applyFill="1" applyBorder="1" applyAlignment="1">
      <alignment horizontal="center" vertical="center" wrapText="1"/>
    </xf>
    <xf numFmtId="0" fontId="9" fillId="0" borderId="20" xfId="0" applyFont="1" applyBorder="1"/>
    <xf numFmtId="4" fontId="21" fillId="17" borderId="8" xfId="0" applyNumberFormat="1" applyFont="1" applyFill="1" applyBorder="1" applyAlignment="1">
      <alignment horizontal="center" wrapText="1"/>
    </xf>
    <xf numFmtId="3" fontId="4" fillId="2" borderId="21" xfId="0" applyNumberFormat="1" applyFont="1" applyFill="1" applyBorder="1" applyAlignment="1">
      <alignment vertical="center"/>
    </xf>
    <xf numFmtId="0" fontId="22" fillId="0" borderId="22" xfId="0" applyFont="1" applyBorder="1"/>
    <xf numFmtId="3" fontId="4" fillId="2" borderId="22" xfId="0" applyNumberFormat="1" applyFont="1" applyFill="1" applyBorder="1" applyAlignment="1">
      <alignment vertical="center"/>
    </xf>
    <xf numFmtId="0" fontId="9" fillId="0" borderId="23" xfId="0" applyFont="1" applyBorder="1"/>
    <xf numFmtId="3" fontId="23" fillId="0" borderId="1" xfId="0" applyNumberFormat="1" applyFont="1" applyBorder="1" applyAlignment="1">
      <alignment horizontal="center" vertical="center"/>
    </xf>
    <xf numFmtId="3" fontId="6" fillId="0" borderId="11" xfId="0" applyNumberFormat="1" applyFont="1" applyBorder="1" applyAlignment="1">
      <alignment horizontal="center" vertical="center"/>
    </xf>
    <xf numFmtId="3" fontId="5" fillId="2" borderId="1" xfId="0" applyNumberFormat="1" applyFont="1" applyFill="1" applyBorder="1" applyAlignment="1">
      <alignment vertical="center"/>
    </xf>
    <xf numFmtId="3" fontId="5" fillId="2" borderId="0" xfId="0" applyNumberFormat="1" applyFont="1" applyFill="1" applyAlignment="1">
      <alignment vertical="center"/>
    </xf>
    <xf numFmtId="3" fontId="1" fillId="2" borderId="0" xfId="0" applyNumberFormat="1" applyFont="1" applyFill="1" applyAlignment="1">
      <alignment vertical="center"/>
    </xf>
    <xf numFmtId="0" fontId="1" fillId="3" borderId="0" xfId="0" applyFont="1" applyFill="1" applyAlignment="1">
      <alignment vertical="center" wrapText="1"/>
    </xf>
    <xf numFmtId="0" fontId="1" fillId="2" borderId="24" xfId="0" applyFont="1" applyFill="1" applyBorder="1" applyAlignment="1">
      <alignment vertical="center" wrapText="1"/>
    </xf>
    <xf numFmtId="3" fontId="2" fillId="2" borderId="24" xfId="0" applyNumberFormat="1" applyFont="1" applyFill="1" applyBorder="1" applyAlignment="1">
      <alignment horizontal="center" vertical="center"/>
    </xf>
    <xf numFmtId="9" fontId="1" fillId="2" borderId="24" xfId="0" applyNumberFormat="1" applyFont="1" applyFill="1" applyBorder="1" applyAlignment="1">
      <alignment horizontal="center" vertical="center"/>
    </xf>
    <xf numFmtId="3" fontId="1" fillId="5" borderId="24" xfId="0" applyNumberFormat="1" applyFont="1" applyFill="1" applyBorder="1" applyAlignment="1">
      <alignment horizontal="center" vertical="center"/>
    </xf>
    <xf numFmtId="3" fontId="1" fillId="10" borderId="24" xfId="0" applyNumberFormat="1" applyFont="1" applyFill="1" applyBorder="1" applyAlignment="1">
      <alignment horizontal="center" vertical="center"/>
    </xf>
    <xf numFmtId="3" fontId="1" fillId="10" borderId="25" xfId="0" applyNumberFormat="1" applyFont="1" applyFill="1" applyBorder="1" applyAlignment="1">
      <alignment horizontal="center" vertical="center"/>
    </xf>
    <xf numFmtId="0" fontId="1" fillId="2" borderId="26" xfId="0" applyFont="1" applyFill="1" applyBorder="1" applyAlignment="1">
      <alignment horizontal="center" vertical="center"/>
    </xf>
    <xf numFmtId="0" fontId="1" fillId="2" borderId="27" xfId="0" applyFont="1" applyFill="1" applyBorder="1" applyAlignment="1">
      <alignment horizontal="center" vertical="center"/>
    </xf>
    <xf numFmtId="0" fontId="2" fillId="2" borderId="28" xfId="0" applyFont="1" applyFill="1" applyBorder="1" applyAlignment="1">
      <alignment horizontal="center" vertical="center"/>
    </xf>
    <xf numFmtId="0" fontId="2" fillId="2" borderId="29" xfId="0" applyFont="1" applyFill="1" applyBorder="1" applyAlignment="1">
      <alignment horizontal="center" vertical="center"/>
    </xf>
    <xf numFmtId="0" fontId="2" fillId="17" borderId="28" xfId="0" applyFont="1" applyFill="1" applyBorder="1" applyAlignment="1">
      <alignment horizontal="center" vertical="center"/>
    </xf>
    <xf numFmtId="0" fontId="2" fillId="17" borderId="29" xfId="0" applyFont="1" applyFill="1" applyBorder="1" applyAlignment="1">
      <alignment horizontal="center" vertical="center"/>
    </xf>
    <xf numFmtId="3" fontId="4" fillId="2" borderId="30" xfId="0" applyNumberFormat="1" applyFont="1" applyFill="1" applyBorder="1" applyAlignment="1">
      <alignment horizontal="right" vertical="center"/>
    </xf>
    <xf numFmtId="3" fontId="24" fillId="2" borderId="24" xfId="0" applyNumberFormat="1" applyFont="1" applyFill="1" applyBorder="1" applyAlignment="1">
      <alignment horizontal="right" vertical="center"/>
    </xf>
    <xf numFmtId="3" fontId="2" fillId="15" borderId="1" xfId="0" applyNumberFormat="1" applyFont="1" applyFill="1" applyBorder="1" applyAlignment="1">
      <alignment vertical="center"/>
    </xf>
    <xf numFmtId="3" fontId="3" fillId="2" borderId="24" xfId="0" applyNumberFormat="1" applyFont="1" applyFill="1" applyBorder="1" applyAlignment="1">
      <alignment vertical="center"/>
    </xf>
    <xf numFmtId="3" fontId="2" fillId="15" borderId="24" xfId="0" applyNumberFormat="1" applyFont="1" applyFill="1" applyBorder="1" applyAlignment="1">
      <alignment horizontal="center" vertical="center"/>
    </xf>
    <xf numFmtId="3" fontId="25" fillId="2" borderId="24" xfId="0" applyNumberFormat="1" applyFont="1" applyFill="1" applyBorder="1" applyAlignment="1">
      <alignment horizontal="center" vertical="center"/>
    </xf>
    <xf numFmtId="3" fontId="1" fillId="15" borderId="24" xfId="0" applyNumberFormat="1" applyFont="1" applyFill="1" applyBorder="1" applyAlignment="1">
      <alignment horizontal="center" vertical="center"/>
    </xf>
    <xf numFmtId="3" fontId="4" fillId="2" borderId="24" xfId="0" applyNumberFormat="1" applyFont="1" applyFill="1" applyBorder="1"/>
    <xf numFmtId="0" fontId="22" fillId="0" borderId="1" xfId="0" applyFont="1" applyBorder="1"/>
    <xf numFmtId="3" fontId="4" fillId="2" borderId="30" xfId="0" applyNumberFormat="1" applyFont="1" applyFill="1" applyBorder="1" applyAlignment="1">
      <alignment vertical="center"/>
    </xf>
    <xf numFmtId="3" fontId="4" fillId="2" borderId="24" xfId="0" applyNumberFormat="1" applyFont="1" applyFill="1" applyBorder="1" applyAlignment="1">
      <alignment vertical="center"/>
    </xf>
    <xf numFmtId="3" fontId="18" fillId="11" borderId="1" xfId="0" applyNumberFormat="1" applyFont="1" applyFill="1" applyBorder="1" applyAlignment="1">
      <alignment vertical="center"/>
    </xf>
    <xf numFmtId="3" fontId="3" fillId="0" borderId="1" xfId="0" applyNumberFormat="1" applyFont="1" applyBorder="1" applyAlignment="1">
      <alignment horizontal="center" vertical="center"/>
    </xf>
    <xf numFmtId="9" fontId="5" fillId="16" borderId="1" xfId="0" applyNumberFormat="1" applyFont="1" applyFill="1" applyBorder="1" applyAlignment="1">
      <alignment vertical="center"/>
    </xf>
    <xf numFmtId="0" fontId="1" fillId="4" borderId="0" xfId="0" applyFont="1" applyFill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9" fontId="2" fillId="2" borderId="1" xfId="0" applyNumberFormat="1" applyFont="1" applyFill="1" applyBorder="1" applyAlignment="1">
      <alignment horizontal="center" vertical="center"/>
    </xf>
    <xf numFmtId="3" fontId="1" fillId="5" borderId="1" xfId="0" applyNumberFormat="1" applyFont="1" applyFill="1" applyBorder="1" applyAlignment="1">
      <alignment horizontal="center" vertical="center"/>
    </xf>
    <xf numFmtId="3" fontId="1" fillId="10" borderId="1" xfId="0" applyNumberFormat="1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2" borderId="31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3" fontId="1" fillId="11" borderId="9" xfId="0" applyNumberFormat="1" applyFont="1" applyFill="1" applyBorder="1" applyAlignment="1">
      <alignment horizontal="right" vertical="center"/>
    </xf>
    <xf numFmtId="3" fontId="24" fillId="2" borderId="1" xfId="0" applyNumberFormat="1" applyFont="1" applyFill="1" applyBorder="1" applyAlignment="1">
      <alignment horizontal="right" vertical="center"/>
    </xf>
    <xf numFmtId="0" fontId="26" fillId="0" borderId="1" xfId="0" applyFont="1" applyBorder="1" applyAlignment="1">
      <alignment vertical="center"/>
    </xf>
    <xf numFmtId="3" fontId="2" fillId="15" borderId="1" xfId="0" applyNumberFormat="1" applyFont="1" applyFill="1" applyBorder="1" applyAlignment="1">
      <alignment horizontal="center" vertical="center"/>
    </xf>
    <xf numFmtId="3" fontId="1" fillId="15" borderId="1" xfId="0" applyNumberFormat="1" applyFont="1" applyFill="1" applyBorder="1" applyAlignment="1">
      <alignment horizontal="center" vertical="center"/>
    </xf>
    <xf numFmtId="3" fontId="4" fillId="2" borderId="1" xfId="0" applyNumberFormat="1" applyFont="1" applyFill="1" applyBorder="1"/>
    <xf numFmtId="3" fontId="4" fillId="2" borderId="9" xfId="0" applyNumberFormat="1" applyFont="1" applyFill="1" applyBorder="1" applyAlignment="1">
      <alignment vertical="center"/>
    </xf>
    <xf numFmtId="3" fontId="4" fillId="2" borderId="1" xfId="0" applyNumberFormat="1" applyFont="1" applyFill="1" applyBorder="1" applyAlignment="1">
      <alignment vertical="center"/>
    </xf>
    <xf numFmtId="3" fontId="1" fillId="10" borderId="11" xfId="0" applyNumberFormat="1" applyFont="1" applyFill="1" applyBorder="1" applyAlignment="1">
      <alignment horizontal="center" vertical="center"/>
    </xf>
    <xf numFmtId="3" fontId="4" fillId="2" borderId="9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vertical="center"/>
    </xf>
    <xf numFmtId="0" fontId="22" fillId="0" borderId="1" xfId="0" applyFont="1" applyBorder="1" applyAlignment="1">
      <alignment vertical="top"/>
    </xf>
    <xf numFmtId="9" fontId="1" fillId="2" borderId="1" xfId="0" applyNumberFormat="1" applyFont="1" applyFill="1" applyBorder="1" applyAlignment="1">
      <alignment horizontal="center" vertical="center"/>
    </xf>
    <xf numFmtId="3" fontId="27" fillId="2" borderId="1" xfId="0" applyNumberFormat="1" applyFont="1" applyFill="1" applyBorder="1"/>
    <xf numFmtId="3" fontId="18" fillId="11" borderId="1" xfId="0" applyNumberFormat="1" applyFont="1" applyFill="1" applyBorder="1" applyAlignment="1">
      <alignment horizontal="right" vertical="center"/>
    </xf>
    <xf numFmtId="3" fontId="4" fillId="2" borderId="0" xfId="0" applyNumberFormat="1" applyFont="1" applyFill="1" applyAlignment="1">
      <alignment vertical="center"/>
    </xf>
    <xf numFmtId="0" fontId="1" fillId="2" borderId="1" xfId="0" applyFont="1" applyFill="1" applyBorder="1" applyAlignment="1">
      <alignment vertical="center" wrapText="1"/>
    </xf>
    <xf numFmtId="0" fontId="26" fillId="0" borderId="1" xfId="0" applyFont="1" applyBorder="1" applyAlignment="1">
      <alignment vertical="center" wrapText="1"/>
    </xf>
    <xf numFmtId="0" fontId="2" fillId="17" borderId="31" xfId="0" applyFont="1" applyFill="1" applyBorder="1" applyAlignment="1">
      <alignment horizontal="center" vertical="center"/>
    </xf>
    <xf numFmtId="0" fontId="2" fillId="17" borderId="4" xfId="0" applyFont="1" applyFill="1" applyBorder="1" applyAlignment="1">
      <alignment horizontal="center" vertical="center"/>
    </xf>
    <xf numFmtId="3" fontId="28" fillId="18" borderId="0" xfId="0" applyNumberFormat="1" applyFont="1" applyFill="1" applyAlignment="1">
      <alignment vertical="center"/>
    </xf>
    <xf numFmtId="3" fontId="28" fillId="18" borderId="1" xfId="0" applyNumberFormat="1" applyFont="1" applyFill="1" applyBorder="1" applyAlignment="1">
      <alignment vertical="center"/>
    </xf>
    <xf numFmtId="3" fontId="2" fillId="18" borderId="1" xfId="0" applyNumberFormat="1" applyFont="1" applyFill="1" applyBorder="1" applyAlignment="1">
      <alignment horizontal="center" vertical="center"/>
    </xf>
    <xf numFmtId="3" fontId="1" fillId="18" borderId="1" xfId="0" applyNumberFormat="1" applyFont="1" applyFill="1" applyBorder="1" applyAlignment="1">
      <alignment horizontal="center" vertical="center"/>
    </xf>
    <xf numFmtId="3" fontId="1" fillId="18" borderId="11" xfId="0" applyNumberFormat="1" applyFont="1" applyFill="1" applyBorder="1" applyAlignment="1">
      <alignment horizontal="center" vertical="center"/>
    </xf>
    <xf numFmtId="3" fontId="28" fillId="18" borderId="3" xfId="0" applyNumberFormat="1" applyFont="1" applyFill="1" applyBorder="1" applyAlignment="1">
      <alignment vertical="center"/>
    </xf>
    <xf numFmtId="3" fontId="28" fillId="18" borderId="27" xfId="0" applyNumberFormat="1" applyFont="1" applyFill="1" applyBorder="1" applyAlignment="1">
      <alignment vertical="center"/>
    </xf>
    <xf numFmtId="3" fontId="29" fillId="18" borderId="31" xfId="0" applyNumberFormat="1" applyFont="1" applyFill="1" applyBorder="1" applyAlignment="1">
      <alignment vertical="center"/>
    </xf>
    <xf numFmtId="3" fontId="29" fillId="18" borderId="4" xfId="0" applyNumberFormat="1" applyFont="1" applyFill="1" applyBorder="1" applyAlignment="1">
      <alignment vertical="center"/>
    </xf>
    <xf numFmtId="3" fontId="29" fillId="17" borderId="31" xfId="0" applyNumberFormat="1" applyFont="1" applyFill="1" applyBorder="1" applyAlignment="1">
      <alignment vertical="center"/>
    </xf>
    <xf numFmtId="3" fontId="29" fillId="17" borderId="4" xfId="0" applyNumberFormat="1" applyFont="1" applyFill="1" applyBorder="1" applyAlignment="1">
      <alignment vertical="center"/>
    </xf>
    <xf numFmtId="3" fontId="1" fillId="18" borderId="9" xfId="0" applyNumberFormat="1" applyFont="1" applyFill="1" applyBorder="1" applyAlignment="1">
      <alignment horizontal="center" vertical="center"/>
    </xf>
    <xf numFmtId="3" fontId="24" fillId="18" borderId="1" xfId="0" applyNumberFormat="1" applyFont="1" applyFill="1" applyBorder="1" applyAlignment="1">
      <alignment horizontal="center" vertical="center"/>
    </xf>
    <xf numFmtId="3" fontId="3" fillId="18" borderId="1" xfId="0" applyNumberFormat="1" applyFont="1" applyFill="1" applyBorder="1" applyAlignment="1">
      <alignment horizontal="center" vertical="center"/>
    </xf>
    <xf numFmtId="3" fontId="28" fillId="18" borderId="1" xfId="0" applyNumberFormat="1" applyFont="1" applyFill="1" applyBorder="1"/>
    <xf numFmtId="3" fontId="2" fillId="18" borderId="1" xfId="0" applyNumberFormat="1" applyFont="1" applyFill="1" applyBorder="1" applyAlignment="1">
      <alignment vertical="center"/>
    </xf>
    <xf numFmtId="4" fontId="30" fillId="18" borderId="1" xfId="0" applyNumberFormat="1" applyFont="1" applyFill="1" applyBorder="1" applyAlignment="1">
      <alignment vertical="center"/>
    </xf>
    <xf numFmtId="3" fontId="18" fillId="18" borderId="1" xfId="0" applyNumberFormat="1" applyFont="1" applyFill="1" applyBorder="1" applyAlignment="1">
      <alignment vertical="center"/>
    </xf>
    <xf numFmtId="3" fontId="31" fillId="18" borderId="1" xfId="0" applyNumberFormat="1" applyFont="1" applyFill="1" applyBorder="1" applyAlignment="1">
      <alignment horizontal="center" vertical="center"/>
    </xf>
    <xf numFmtId="9" fontId="32" fillId="18" borderId="1" xfId="0" applyNumberFormat="1" applyFont="1" applyFill="1" applyBorder="1" applyAlignment="1">
      <alignment horizontal="center" vertical="center"/>
    </xf>
    <xf numFmtId="3" fontId="32" fillId="18" borderId="1" xfId="0" applyNumberFormat="1" applyFont="1" applyFill="1" applyBorder="1" applyAlignment="1">
      <alignment horizontal="center" vertical="center"/>
    </xf>
    <xf numFmtId="3" fontId="32" fillId="18" borderId="0" xfId="0" applyNumberFormat="1" applyFont="1" applyFill="1" applyAlignment="1">
      <alignment horizontal="center" vertical="center"/>
    </xf>
    <xf numFmtId="0" fontId="22" fillId="0" borderId="1" xfId="0" applyFont="1" applyBorder="1" applyAlignment="1">
      <alignment vertical="center"/>
    </xf>
    <xf numFmtId="0" fontId="33" fillId="0" borderId="1" xfId="0" applyFont="1" applyBorder="1" applyAlignment="1">
      <alignment vertical="center"/>
    </xf>
    <xf numFmtId="0" fontId="26" fillId="0" borderId="1" xfId="0" applyFont="1" applyBorder="1"/>
    <xf numFmtId="9" fontId="34" fillId="16" borderId="1" xfId="0" applyNumberFormat="1" applyFont="1" applyFill="1" applyBorder="1" applyAlignment="1">
      <alignment vertical="center"/>
    </xf>
    <xf numFmtId="3" fontId="7" fillId="2" borderId="1" xfId="0" applyNumberFormat="1" applyFont="1" applyFill="1" applyBorder="1"/>
    <xf numFmtId="0" fontId="1" fillId="2" borderId="0" xfId="0" applyFont="1" applyFill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9" fontId="35" fillId="16" borderId="1" xfId="0" applyNumberFormat="1" applyFont="1" applyFill="1" applyBorder="1" applyAlignment="1">
      <alignment vertical="center"/>
    </xf>
    <xf numFmtId="3" fontId="1" fillId="18" borderId="3" xfId="0" applyNumberFormat="1" applyFont="1" applyFill="1" applyBorder="1" applyAlignment="1">
      <alignment horizontal="center" vertical="center"/>
    </xf>
    <xf numFmtId="3" fontId="1" fillId="18" borderId="27" xfId="0" applyNumberFormat="1" applyFont="1" applyFill="1" applyBorder="1" applyAlignment="1">
      <alignment horizontal="center" vertical="center"/>
    </xf>
    <xf numFmtId="10" fontId="12" fillId="15" borderId="1" xfId="0" applyNumberFormat="1" applyFont="1" applyFill="1" applyBorder="1" applyAlignment="1">
      <alignment horizontal="center" vertical="center" wrapText="1"/>
    </xf>
    <xf numFmtId="3" fontId="1" fillId="18" borderId="1" xfId="0" applyNumberFormat="1" applyFont="1" applyFill="1" applyBorder="1" applyAlignment="1">
      <alignment horizontal="center"/>
    </xf>
    <xf numFmtId="4" fontId="28" fillId="18" borderId="1" xfId="0" applyNumberFormat="1" applyFont="1" applyFill="1" applyBorder="1" applyAlignment="1">
      <alignment vertical="center"/>
    </xf>
    <xf numFmtId="3" fontId="6" fillId="18" borderId="1" xfId="0" applyNumberFormat="1" applyFont="1" applyFill="1" applyBorder="1" applyAlignment="1">
      <alignment horizontal="center" vertical="center"/>
    </xf>
    <xf numFmtId="0" fontId="12" fillId="8" borderId="0" xfId="0" applyFont="1" applyFill="1" applyAlignment="1">
      <alignment horizontal="center" vertical="center" wrapText="1"/>
    </xf>
    <xf numFmtId="0" fontId="12" fillId="8" borderId="1" xfId="0" applyFont="1" applyFill="1" applyBorder="1" applyAlignment="1">
      <alignment horizontal="center" vertical="center" wrapText="1"/>
    </xf>
    <xf numFmtId="3" fontId="36" fillId="8" borderId="1" xfId="0" applyNumberFormat="1" applyFont="1" applyFill="1" applyBorder="1" applyAlignment="1">
      <alignment horizontal="center" vertical="center" wrapText="1"/>
    </xf>
    <xf numFmtId="3" fontId="36" fillId="5" borderId="1" xfId="0" applyNumberFormat="1" applyFont="1" applyFill="1" applyBorder="1" applyAlignment="1">
      <alignment horizontal="center" vertical="center" wrapText="1"/>
    </xf>
    <xf numFmtId="3" fontId="12" fillId="10" borderId="1" xfId="0" applyNumberFormat="1" applyFont="1" applyFill="1" applyBorder="1" applyAlignment="1">
      <alignment horizontal="center" vertical="center" wrapText="1"/>
    </xf>
    <xf numFmtId="3" fontId="8" fillId="8" borderId="5" xfId="0" applyNumberFormat="1" applyFont="1" applyFill="1" applyBorder="1" applyAlignment="1">
      <alignment horizontal="center" vertical="center" wrapText="1"/>
    </xf>
    <xf numFmtId="3" fontId="37" fillId="11" borderId="9" xfId="0" applyNumberFormat="1" applyFont="1" applyFill="1" applyBorder="1" applyAlignment="1">
      <alignment horizontal="center" vertical="center" wrapText="1"/>
    </xf>
    <xf numFmtId="4" fontId="12" fillId="5" borderId="1" xfId="0" applyNumberFormat="1" applyFont="1" applyFill="1" applyBorder="1" applyAlignment="1">
      <alignment horizontal="center" vertical="center" wrapText="1"/>
    </xf>
    <xf numFmtId="4" fontId="13" fillId="5" borderId="1" xfId="0" applyNumberFormat="1" applyFont="1" applyFill="1" applyBorder="1" applyAlignment="1">
      <alignment horizontal="center" vertical="center" wrapText="1"/>
    </xf>
    <xf numFmtId="4" fontId="13" fillId="12" borderId="1" xfId="0" applyNumberFormat="1" applyFont="1" applyFill="1" applyBorder="1" applyAlignment="1">
      <alignment horizontal="center" vertical="center" wrapText="1"/>
    </xf>
    <xf numFmtId="4" fontId="13" fillId="8" borderId="1" xfId="0" applyNumberFormat="1" applyFont="1" applyFill="1" applyBorder="1" applyAlignment="1">
      <alignment horizontal="center" vertical="center" wrapText="1"/>
    </xf>
    <xf numFmtId="4" fontId="21" fillId="17" borderId="8" xfId="0" applyNumberFormat="1" applyFont="1" applyFill="1" applyBorder="1" applyAlignment="1">
      <alignment horizontal="center" vertical="center" wrapText="1"/>
    </xf>
    <xf numFmtId="4" fontId="16" fillId="2" borderId="1" xfId="0" applyNumberFormat="1" applyFont="1" applyFill="1" applyBorder="1" applyAlignment="1">
      <alignment horizontal="center" wrapText="1"/>
    </xf>
    <xf numFmtId="4" fontId="14" fillId="5" borderId="2" xfId="0" applyNumberFormat="1" applyFont="1" applyFill="1" applyBorder="1" applyAlignment="1">
      <alignment horizontal="center" wrapText="1"/>
    </xf>
    <xf numFmtId="3" fontId="37" fillId="11" borderId="1" xfId="0" applyNumberFormat="1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 wrapText="1"/>
    </xf>
    <xf numFmtId="3" fontId="12" fillId="19" borderId="1" xfId="0" applyNumberFormat="1" applyFont="1" applyFill="1" applyBorder="1" applyAlignment="1">
      <alignment horizontal="center" vertical="center" wrapText="1"/>
    </xf>
    <xf numFmtId="3" fontId="12" fillId="11" borderId="1" xfId="0" applyNumberFormat="1" applyFont="1" applyFill="1" applyBorder="1" applyAlignment="1">
      <alignment horizontal="center" vertical="center" wrapText="1"/>
    </xf>
    <xf numFmtId="3" fontId="20" fillId="15" borderId="1" xfId="0" applyNumberFormat="1" applyFont="1" applyFill="1" applyBorder="1" applyAlignment="1">
      <alignment horizontal="center" vertical="center" wrapText="1"/>
    </xf>
    <xf numFmtId="3" fontId="35" fillId="2" borderId="1" xfId="0" applyNumberFormat="1" applyFont="1" applyFill="1" applyBorder="1" applyAlignment="1">
      <alignment horizontal="center" vertical="center" wrapText="1"/>
    </xf>
    <xf numFmtId="3" fontId="1" fillId="4" borderId="2" xfId="0" applyNumberFormat="1" applyFont="1" applyFill="1" applyBorder="1" applyAlignment="1">
      <alignment horizontal="center" vertical="center"/>
    </xf>
    <xf numFmtId="0" fontId="38" fillId="2" borderId="1" xfId="0" applyFont="1" applyFill="1" applyBorder="1" applyAlignment="1">
      <alignment vertical="center" wrapText="1"/>
    </xf>
    <xf numFmtId="9" fontId="2" fillId="20" borderId="1" xfId="0" applyNumberFormat="1" applyFont="1" applyFill="1" applyBorder="1" applyAlignment="1">
      <alignment horizontal="center" vertical="center"/>
    </xf>
    <xf numFmtId="0" fontId="1" fillId="2" borderId="31" xfId="0" applyFont="1" applyFill="1" applyBorder="1" applyAlignment="1">
      <alignment horizontal="center" vertical="center"/>
    </xf>
    <xf numFmtId="3" fontId="24" fillId="0" borderId="32" xfId="0" applyNumberFormat="1" applyFont="1" applyBorder="1" applyAlignment="1">
      <alignment horizontal="right" vertical="center"/>
    </xf>
    <xf numFmtId="3" fontId="2" fillId="11" borderId="1" xfId="0" applyNumberFormat="1" applyFont="1" applyFill="1" applyBorder="1" applyAlignment="1">
      <alignment vertical="center"/>
    </xf>
    <xf numFmtId="3" fontId="6" fillId="0" borderId="1" xfId="0" applyNumberFormat="1" applyFont="1" applyBorder="1" applyAlignment="1">
      <alignment horizontal="center" vertical="center"/>
    </xf>
    <xf numFmtId="0" fontId="9" fillId="0" borderId="24" xfId="0" applyFont="1" applyBorder="1"/>
    <xf numFmtId="3" fontId="24" fillId="2" borderId="1" xfId="0" applyNumberFormat="1" applyFont="1" applyFill="1" applyBorder="1" applyAlignment="1">
      <alignment vertical="center"/>
    </xf>
    <xf numFmtId="3" fontId="39" fillId="2" borderId="1" xfId="0" applyNumberFormat="1" applyFont="1" applyFill="1" applyBorder="1" applyAlignment="1">
      <alignment vertical="center"/>
    </xf>
    <xf numFmtId="0" fontId="28" fillId="2" borderId="0" xfId="0" applyFont="1" applyFill="1"/>
    <xf numFmtId="0" fontId="28" fillId="2" borderId="1" xfId="0" applyFont="1" applyFill="1" applyBorder="1"/>
    <xf numFmtId="0" fontId="2" fillId="2" borderId="33" xfId="0" applyFont="1" applyFill="1" applyBorder="1" applyAlignment="1">
      <alignment vertical="center" wrapText="1"/>
    </xf>
    <xf numFmtId="0" fontId="2" fillId="2" borderId="33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vertical="center" wrapText="1"/>
    </xf>
    <xf numFmtId="0" fontId="3" fillId="2" borderId="0" xfId="0" applyFont="1" applyFill="1" applyAlignment="1">
      <alignment vertical="center"/>
    </xf>
    <xf numFmtId="0" fontId="3" fillId="2" borderId="0" xfId="0" applyFont="1" applyFill="1" applyAlignment="1">
      <alignment horizontal="center" vertical="center"/>
    </xf>
    <xf numFmtId="10" fontId="12" fillId="15" borderId="0" xfId="0" applyNumberFormat="1" applyFont="1" applyFill="1" applyAlignment="1">
      <alignment horizontal="center" vertical="center" wrapText="1"/>
    </xf>
    <xf numFmtId="3" fontId="1" fillId="0" borderId="0" xfId="0" applyNumberFormat="1" applyFont="1" applyAlignment="1">
      <alignment vertical="center"/>
    </xf>
    <xf numFmtId="3" fontId="2" fillId="2" borderId="0" xfId="0" applyNumberFormat="1" applyFont="1" applyFill="1" applyAlignment="1">
      <alignment horizontal="right" vertical="center"/>
    </xf>
    <xf numFmtId="10" fontId="5" fillId="2" borderId="0" xfId="0" applyNumberFormat="1" applyFont="1" applyFill="1" applyAlignment="1">
      <alignment vertical="center"/>
    </xf>
    <xf numFmtId="3" fontId="1" fillId="0" borderId="0" xfId="0" applyNumberFormat="1" applyFont="1" applyAlignment="1">
      <alignment horizontal="center" vertical="center"/>
    </xf>
    <xf numFmtId="9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2" fillId="2" borderId="0" xfId="0" applyFont="1" applyFill="1" applyAlignment="1">
      <alignment horizontal="center" vertical="center"/>
    </xf>
    <xf numFmtId="3" fontId="1" fillId="0" borderId="0" xfId="0" applyNumberFormat="1" applyFont="1" applyAlignment="1">
      <alignment horizontal="right" vertical="center"/>
    </xf>
    <xf numFmtId="0" fontId="2" fillId="0" borderId="0" xfId="0" applyFont="1" applyAlignment="1">
      <alignment vertical="center"/>
    </xf>
    <xf numFmtId="0" fontId="28" fillId="0" borderId="0" xfId="0" applyFont="1"/>
    <xf numFmtId="0" fontId="41" fillId="0" borderId="0" xfId="0" applyFont="1"/>
    <xf numFmtId="0" fontId="2" fillId="0" borderId="0" xfId="0" applyFont="1" applyAlignment="1">
      <alignment horizontal="center" vertical="center"/>
    </xf>
    <xf numFmtId="0" fontId="2" fillId="2" borderId="0" xfId="0" applyFont="1" applyFill="1" applyAlignment="1">
      <alignment vertical="center"/>
    </xf>
    <xf numFmtId="0" fontId="1" fillId="2" borderId="0" xfId="0" applyFont="1" applyFill="1" applyAlignment="1">
      <alignment horizontal="left" vertical="center"/>
    </xf>
    <xf numFmtId="3" fontId="18" fillId="0" borderId="0" xfId="0" applyNumberFormat="1" applyFont="1" applyAlignment="1">
      <alignment horizontal="right"/>
    </xf>
    <xf numFmtId="0" fontId="2" fillId="2" borderId="0" xfId="0" applyFont="1" applyFill="1" applyAlignment="1">
      <alignment horizontal="right" vertical="center"/>
    </xf>
    <xf numFmtId="10" fontId="34" fillId="2" borderId="0" xfId="0" applyNumberFormat="1" applyFont="1" applyFill="1" applyAlignment="1">
      <alignment vertical="center"/>
    </xf>
    <xf numFmtId="0" fontId="41" fillId="0" borderId="0" xfId="0" applyFont="1" applyAlignment="1">
      <alignment vertical="center"/>
    </xf>
    <xf numFmtId="0" fontId="42" fillId="0" borderId="0" xfId="0" applyFont="1" applyAlignment="1">
      <alignment vertical="center"/>
    </xf>
    <xf numFmtId="3" fontId="18" fillId="0" borderId="0" xfId="0" applyNumberFormat="1" applyFont="1" applyAlignment="1">
      <alignment horizontal="right" vertical="center"/>
    </xf>
    <xf numFmtId="3" fontId="28" fillId="0" borderId="0" xfId="0" applyNumberFormat="1" applyFont="1"/>
    <xf numFmtId="0" fontId="28" fillId="0" borderId="7" xfId="0" applyFont="1" applyBorder="1"/>
    <xf numFmtId="0" fontId="28" fillId="3" borderId="34" xfId="0" applyFont="1" applyFill="1" applyBorder="1"/>
    <xf numFmtId="0" fontId="1" fillId="3" borderId="34" xfId="0" applyFont="1" applyFill="1" applyBorder="1"/>
    <xf numFmtId="0" fontId="1" fillId="3" borderId="34" xfId="0" applyFont="1" applyFill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15" borderId="2" xfId="0" applyFont="1" applyFill="1" applyBorder="1" applyAlignment="1">
      <alignment horizontal="center"/>
    </xf>
    <xf numFmtId="0" fontId="1" fillId="0" borderId="2" xfId="0" applyFont="1" applyBorder="1"/>
    <xf numFmtId="0" fontId="43" fillId="16" borderId="35" xfId="0" applyFont="1" applyFill="1" applyBorder="1"/>
    <xf numFmtId="0" fontId="43" fillId="0" borderId="2" xfId="0" applyFont="1" applyBorder="1" applyAlignment="1">
      <alignment horizontal="center" vertical="center"/>
    </xf>
    <xf numFmtId="0" fontId="44" fillId="0" borderId="2" xfId="0" applyFont="1" applyBorder="1" applyAlignment="1">
      <alignment horizontal="center" vertical="center"/>
    </xf>
    <xf numFmtId="0" fontId="43" fillId="2" borderId="1" xfId="0" applyFont="1" applyFill="1" applyBorder="1" applyAlignment="1">
      <alignment horizontal="center"/>
    </xf>
    <xf numFmtId="0" fontId="44" fillId="2" borderId="1" xfId="0" applyFont="1" applyFill="1" applyBorder="1" applyAlignment="1">
      <alignment horizontal="center"/>
    </xf>
    <xf numFmtId="0" fontId="45" fillId="2" borderId="1" xfId="0" applyFont="1" applyFill="1" applyBorder="1"/>
    <xf numFmtId="0" fontId="46" fillId="2" borderId="0" xfId="0" applyFont="1" applyFill="1"/>
    <xf numFmtId="0" fontId="47" fillId="16" borderId="35" xfId="0" applyFont="1" applyFill="1" applyBorder="1" applyAlignment="1">
      <alignment horizontal="center"/>
    </xf>
    <xf numFmtId="3" fontId="2" fillId="20" borderId="0" xfId="0" applyNumberFormat="1" applyFont="1" applyFill="1" applyAlignment="1">
      <alignment horizontal="right"/>
    </xf>
    <xf numFmtId="3" fontId="1" fillId="20" borderId="0" xfId="0" applyNumberFormat="1" applyFont="1" applyFill="1" applyAlignment="1">
      <alignment horizontal="right" vertical="center"/>
    </xf>
    <xf numFmtId="3" fontId="28" fillId="2" borderId="0" xfId="0" applyNumberFormat="1" applyFont="1" applyFill="1"/>
    <xf numFmtId="3" fontId="2" fillId="0" borderId="0" xfId="0" applyNumberFormat="1" applyFont="1" applyAlignment="1">
      <alignment horizontal="right"/>
    </xf>
    <xf numFmtId="0" fontId="28" fillId="0" borderId="35" xfId="0" applyFont="1" applyBorder="1"/>
    <xf numFmtId="0" fontId="48" fillId="0" borderId="0" xfId="0" applyFont="1"/>
    <xf numFmtId="0" fontId="48" fillId="2" borderId="0" xfId="0" applyFont="1" applyFill="1"/>
    <xf numFmtId="0" fontId="29" fillId="2" borderId="0" xfId="0" applyFont="1" applyFill="1"/>
    <xf numFmtId="0" fontId="5" fillId="2" borderId="0" xfId="0" applyFont="1" applyFill="1" applyAlignment="1">
      <alignment vertical="center"/>
    </xf>
    <xf numFmtId="0" fontId="49" fillId="16" borderId="7" xfId="0" applyFont="1" applyFill="1" applyBorder="1" applyAlignment="1">
      <alignment horizontal="center"/>
    </xf>
    <xf numFmtId="0" fontId="49" fillId="0" borderId="36" xfId="0" applyFont="1" applyBorder="1" applyAlignment="1">
      <alignment horizontal="center" vertical="center"/>
    </xf>
    <xf numFmtId="0" fontId="44" fillId="0" borderId="37" xfId="0" applyFont="1" applyBorder="1" applyAlignment="1">
      <alignment horizontal="center"/>
    </xf>
    <xf numFmtId="0" fontId="44" fillId="0" borderId="38" xfId="0" applyFont="1" applyBorder="1" applyAlignment="1">
      <alignment horizontal="center"/>
    </xf>
    <xf numFmtId="0" fontId="49" fillId="2" borderId="38" xfId="0" applyFont="1" applyFill="1" applyBorder="1" applyAlignment="1">
      <alignment horizontal="center"/>
    </xf>
    <xf numFmtId="0" fontId="44" fillId="2" borderId="38" xfId="0" applyFont="1" applyFill="1" applyBorder="1" applyAlignment="1">
      <alignment horizontal="center"/>
    </xf>
    <xf numFmtId="0" fontId="50" fillId="2" borderId="38" xfId="0" applyFont="1" applyFill="1" applyBorder="1" applyAlignment="1">
      <alignment horizontal="center"/>
    </xf>
    <xf numFmtId="0" fontId="50" fillId="2" borderId="39" xfId="0" applyFont="1" applyFill="1" applyBorder="1" applyAlignment="1">
      <alignment horizontal="center"/>
    </xf>
    <xf numFmtId="0" fontId="50" fillId="2" borderId="40" xfId="0" applyFont="1" applyFill="1" applyBorder="1" applyAlignment="1">
      <alignment horizontal="center"/>
    </xf>
    <xf numFmtId="0" fontId="51" fillId="20" borderId="0" xfId="0" applyFont="1" applyFill="1"/>
    <xf numFmtId="0" fontId="49" fillId="16" borderId="35" xfId="0" applyFont="1" applyFill="1" applyBorder="1" applyAlignment="1">
      <alignment horizontal="center"/>
    </xf>
    <xf numFmtId="0" fontId="49" fillId="0" borderId="41" xfId="0" applyFont="1" applyBorder="1" applyAlignment="1">
      <alignment horizontal="center" vertical="center"/>
    </xf>
    <xf numFmtId="0" fontId="44" fillId="0" borderId="42" xfId="0" applyFont="1" applyBorder="1" applyAlignment="1">
      <alignment horizontal="center"/>
    </xf>
    <xf numFmtId="0" fontId="44" fillId="0" borderId="20" xfId="0" applyFont="1" applyBorder="1" applyAlignment="1">
      <alignment horizontal="center"/>
    </xf>
    <xf numFmtId="0" fontId="49" fillId="2" borderId="2" xfId="0" applyFont="1" applyFill="1" applyBorder="1" applyAlignment="1">
      <alignment horizontal="center"/>
    </xf>
    <xf numFmtId="0" fontId="44" fillId="2" borderId="2" xfId="0" applyFont="1" applyFill="1" applyBorder="1" applyAlignment="1">
      <alignment horizontal="center"/>
    </xf>
    <xf numFmtId="0" fontId="50" fillId="2" borderId="2" xfId="0" applyFont="1" applyFill="1" applyBorder="1" applyAlignment="1">
      <alignment horizontal="center"/>
    </xf>
    <xf numFmtId="0" fontId="50" fillId="2" borderId="43" xfId="0" applyFont="1" applyFill="1" applyBorder="1" applyAlignment="1">
      <alignment horizontal="center"/>
    </xf>
    <xf numFmtId="0" fontId="50" fillId="2" borderId="44" xfId="0" applyFont="1" applyFill="1" applyBorder="1" applyAlignment="1">
      <alignment horizontal="center"/>
    </xf>
    <xf numFmtId="0" fontId="49" fillId="0" borderId="45" xfId="0" applyFont="1" applyBorder="1" applyAlignment="1">
      <alignment horizontal="center" vertical="center"/>
    </xf>
    <xf numFmtId="0" fontId="52" fillId="2" borderId="0" xfId="0" applyFont="1" applyFill="1"/>
    <xf numFmtId="0" fontId="0" fillId="0" borderId="0" xfId="0"/>
    <xf numFmtId="0" fontId="49" fillId="0" borderId="46" xfId="0" applyFont="1" applyBorder="1" applyAlignment="1">
      <alignment horizontal="center" vertical="center"/>
    </xf>
    <xf numFmtId="0" fontId="44" fillId="0" borderId="47" xfId="0" applyFont="1" applyBorder="1" applyAlignment="1">
      <alignment horizontal="center"/>
    </xf>
    <xf numFmtId="0" fontId="49" fillId="2" borderId="47" xfId="0" applyFont="1" applyFill="1" applyBorder="1" applyAlignment="1">
      <alignment horizontal="center"/>
    </xf>
    <xf numFmtId="0" fontId="44" fillId="2" borderId="47" xfId="0" applyFont="1" applyFill="1" applyBorder="1" applyAlignment="1">
      <alignment horizontal="center"/>
    </xf>
    <xf numFmtId="0" fontId="50" fillId="2" borderId="47" xfId="0" applyFont="1" applyFill="1" applyBorder="1" applyAlignment="1">
      <alignment horizontal="center"/>
    </xf>
    <xf numFmtId="0" fontId="50" fillId="2" borderId="48" xfId="0" applyFont="1" applyFill="1" applyBorder="1" applyAlignment="1">
      <alignment horizontal="center"/>
    </xf>
    <xf numFmtId="0" fontId="49" fillId="16" borderId="0" xfId="0" applyFont="1" applyFill="1" applyAlignment="1">
      <alignment horizontal="center"/>
    </xf>
    <xf numFmtId="0" fontId="49" fillId="0" borderId="0" xfId="0" applyFont="1" applyAlignment="1">
      <alignment horizontal="center" vertical="center"/>
    </xf>
    <xf numFmtId="0" fontId="44" fillId="0" borderId="0" xfId="0" applyFont="1" applyAlignment="1">
      <alignment horizontal="center"/>
    </xf>
    <xf numFmtId="0" fontId="49" fillId="2" borderId="0" xfId="0" applyFont="1" applyFill="1" applyAlignment="1">
      <alignment horizontal="center"/>
    </xf>
    <xf numFmtId="0" fontId="44" fillId="2" borderId="0" xfId="0" applyFont="1" applyFill="1" applyAlignment="1">
      <alignment horizontal="center"/>
    </xf>
    <xf numFmtId="0" fontId="50" fillId="2" borderId="0" xfId="0" applyFont="1" applyFill="1" applyAlignment="1">
      <alignment horizontal="center"/>
    </xf>
    <xf numFmtId="0" fontId="50" fillId="2" borderId="42" xfId="0" applyFont="1" applyFill="1" applyBorder="1" applyAlignment="1">
      <alignment horizontal="center"/>
    </xf>
    <xf numFmtId="0" fontId="50" fillId="2" borderId="35" xfId="0" applyFont="1" applyFill="1" applyBorder="1" applyAlignment="1">
      <alignment horizontal="center"/>
    </xf>
    <xf numFmtId="0" fontId="49" fillId="0" borderId="0" xfId="0" applyFont="1" applyAlignment="1">
      <alignment horizontal="center"/>
    </xf>
    <xf numFmtId="0" fontId="28" fillId="20" borderId="0" xfId="0" applyFont="1" applyFill="1"/>
    <xf numFmtId="3" fontId="28" fillId="20" borderId="0" xfId="0" applyNumberFormat="1" applyFont="1" applyFill="1"/>
    <xf numFmtId="0" fontId="1" fillId="20" borderId="0" xfId="0" applyFont="1" applyFill="1" applyAlignment="1">
      <alignment vertical="center"/>
    </xf>
    <xf numFmtId="0" fontId="2" fillId="20" borderId="0" xfId="0" applyFont="1" applyFill="1" applyAlignment="1">
      <alignment vertical="center"/>
    </xf>
    <xf numFmtId="0" fontId="49" fillId="0" borderId="49" xfId="0" applyFont="1" applyBorder="1" applyAlignment="1">
      <alignment horizontal="center"/>
    </xf>
    <xf numFmtId="0" fontId="44" fillId="0" borderId="50" xfId="0" applyFont="1" applyBorder="1" applyAlignment="1">
      <alignment horizontal="center"/>
    </xf>
    <xf numFmtId="0" fontId="46" fillId="2" borderId="0" xfId="0" applyFont="1" applyFill="1"/>
    <xf numFmtId="0" fontId="53" fillId="20" borderId="0" xfId="0" applyFont="1" applyFill="1" applyAlignment="1">
      <alignment horizontal="left"/>
    </xf>
    <xf numFmtId="0" fontId="9" fillId="0" borderId="51" xfId="0" applyFont="1" applyBorder="1"/>
    <xf numFmtId="0" fontId="49" fillId="2" borderId="1" xfId="0" applyFont="1" applyFill="1" applyBorder="1" applyAlignment="1">
      <alignment horizontal="center"/>
    </xf>
    <xf numFmtId="0" fontId="50" fillId="2" borderId="1" xfId="0" applyFont="1" applyFill="1" applyBorder="1" applyAlignment="1">
      <alignment horizontal="center"/>
    </xf>
    <xf numFmtId="0" fontId="50" fillId="2" borderId="27" xfId="0" applyFont="1" applyFill="1" applyBorder="1" applyAlignment="1">
      <alignment horizontal="center"/>
    </xf>
    <xf numFmtId="0" fontId="50" fillId="2" borderId="52" xfId="0" applyFont="1" applyFill="1" applyBorder="1" applyAlignment="1">
      <alignment horizontal="center"/>
    </xf>
    <xf numFmtId="0" fontId="9" fillId="0" borderId="53" xfId="0" applyFont="1" applyBorder="1"/>
    <xf numFmtId="0" fontId="9" fillId="0" borderId="54" xfId="0" applyFont="1" applyBorder="1"/>
    <xf numFmtId="0" fontId="49" fillId="0" borderId="51" xfId="0" applyFont="1" applyBorder="1" applyAlignment="1">
      <alignment horizontal="center"/>
    </xf>
    <xf numFmtId="0" fontId="44" fillId="0" borderId="24" xfId="0" applyFont="1" applyBorder="1" applyAlignment="1">
      <alignment horizontal="center"/>
    </xf>
    <xf numFmtId="0" fontId="49" fillId="2" borderId="24" xfId="0" applyFont="1" applyFill="1" applyBorder="1" applyAlignment="1">
      <alignment horizontal="center"/>
    </xf>
    <xf numFmtId="0" fontId="44" fillId="2" borderId="30" xfId="0" applyFont="1" applyFill="1" applyBorder="1" applyAlignment="1">
      <alignment horizontal="center"/>
    </xf>
    <xf numFmtId="0" fontId="50" fillId="2" borderId="24" xfId="0" applyFont="1" applyFill="1" applyBorder="1" applyAlignment="1">
      <alignment horizontal="center"/>
    </xf>
    <xf numFmtId="0" fontId="50" fillId="2" borderId="55" xfId="0" applyFont="1" applyFill="1" applyBorder="1" applyAlignment="1">
      <alignment horizontal="center"/>
    </xf>
    <xf numFmtId="0" fontId="44" fillId="2" borderId="24" xfId="0" applyFont="1" applyFill="1" applyBorder="1" applyAlignment="1">
      <alignment horizontal="center"/>
    </xf>
    <xf numFmtId="0" fontId="44" fillId="0" borderId="1" xfId="0" applyFont="1" applyBorder="1" applyAlignment="1">
      <alignment horizontal="center"/>
    </xf>
    <xf numFmtId="0" fontId="50" fillId="2" borderId="56" xfId="0" applyFont="1" applyFill="1" applyBorder="1" applyAlignment="1">
      <alignment horizontal="center"/>
    </xf>
    <xf numFmtId="0" fontId="28" fillId="0" borderId="0" xfId="0" applyFont="1"/>
    <xf numFmtId="0" fontId="49" fillId="20" borderId="0" xfId="0" applyFont="1" applyFill="1" applyAlignment="1">
      <alignment horizontal="center"/>
    </xf>
    <xf numFmtId="0" fontId="49" fillId="0" borderId="57" xfId="0" applyFont="1" applyBorder="1" applyAlignment="1">
      <alignment horizontal="center" vertical="center"/>
    </xf>
    <xf numFmtId="0" fontId="8" fillId="0" borderId="50" xfId="0" applyFont="1" applyBorder="1" applyAlignment="1">
      <alignment horizontal="center" vertical="center"/>
    </xf>
    <xf numFmtId="0" fontId="44" fillId="0" borderId="50" xfId="0" applyFont="1" applyBorder="1" applyAlignment="1">
      <alignment horizontal="center" vertical="center"/>
    </xf>
    <xf numFmtId="0" fontId="54" fillId="2" borderId="38" xfId="0" applyFont="1" applyFill="1" applyBorder="1" applyAlignment="1">
      <alignment horizontal="center"/>
    </xf>
    <xf numFmtId="0" fontId="54" fillId="2" borderId="0" xfId="0" applyFont="1" applyFill="1" applyAlignment="1">
      <alignment horizontal="center"/>
    </xf>
    <xf numFmtId="0" fontId="9" fillId="0" borderId="58" xfId="0" applyFont="1" applyBorder="1"/>
    <xf numFmtId="0" fontId="54" fillId="2" borderId="1" xfId="0" applyFont="1" applyFill="1" applyBorder="1" applyAlignment="1">
      <alignment horizontal="center"/>
    </xf>
    <xf numFmtId="0" fontId="9" fillId="0" borderId="59" xfId="0" applyFont="1" applyBorder="1"/>
    <xf numFmtId="0" fontId="54" fillId="2" borderId="2" xfId="0" applyFont="1" applyFill="1" applyBorder="1" applyAlignment="1">
      <alignment horizontal="center"/>
    </xf>
    <xf numFmtId="0" fontId="50" fillId="2" borderId="20" xfId="0" applyFont="1" applyFill="1" applyBorder="1" applyAlignment="1">
      <alignment horizontal="center"/>
    </xf>
    <xf numFmtId="0" fontId="49" fillId="0" borderId="49" xfId="0" applyFont="1" applyBorder="1" applyAlignment="1">
      <alignment horizontal="center" vertical="center"/>
    </xf>
    <xf numFmtId="0" fontId="49" fillId="0" borderId="50" xfId="0" applyFont="1" applyBorder="1" applyAlignment="1">
      <alignment horizontal="center" vertical="center"/>
    </xf>
    <xf numFmtId="0" fontId="54" fillId="2" borderId="47" xfId="0" applyFont="1" applyFill="1" applyBorder="1" applyAlignment="1">
      <alignment horizontal="center"/>
    </xf>
    <xf numFmtId="0" fontId="43" fillId="0" borderId="57" xfId="0" applyFont="1" applyBorder="1" applyAlignment="1">
      <alignment horizontal="center" vertical="center"/>
    </xf>
    <xf numFmtId="0" fontId="43" fillId="2" borderId="38" xfId="0" applyFont="1" applyFill="1" applyBorder="1" applyAlignment="1">
      <alignment horizontal="center"/>
    </xf>
    <xf numFmtId="0" fontId="45" fillId="2" borderId="38" xfId="0" applyFont="1" applyFill="1" applyBorder="1"/>
    <xf numFmtId="0" fontId="45" fillId="2" borderId="38" xfId="0" applyFont="1" applyFill="1" applyBorder="1" applyAlignment="1">
      <alignment horizontal="center"/>
    </xf>
    <xf numFmtId="0" fontId="43" fillId="2" borderId="0" xfId="0" applyFont="1" applyFill="1" applyAlignment="1">
      <alignment horizontal="center"/>
    </xf>
    <xf numFmtId="0" fontId="45" fillId="2" borderId="0" xfId="0" applyFont="1" applyFill="1"/>
    <xf numFmtId="0" fontId="43" fillId="2" borderId="47" xfId="0" applyFont="1" applyFill="1" applyBorder="1" applyAlignment="1">
      <alignment horizontal="center"/>
    </xf>
    <xf numFmtId="0" fontId="45" fillId="2" borderId="47" xfId="0" applyFont="1" applyFill="1" applyBorder="1"/>
    <xf numFmtId="0" fontId="28" fillId="2" borderId="0" xfId="0" applyFont="1" applyFill="1" applyAlignment="1">
      <alignment horizontal="center"/>
    </xf>
    <xf numFmtId="0" fontId="49" fillId="0" borderId="0" xfId="0" applyFont="1" applyAlignment="1">
      <alignment horizontal="center" vertical="center"/>
    </xf>
    <xf numFmtId="0" fontId="50" fillId="15" borderId="0" xfId="0" applyFont="1" applyFill="1" applyAlignment="1">
      <alignment horizontal="center"/>
    </xf>
    <xf numFmtId="0" fontId="43" fillId="0" borderId="0" xfId="0" applyFont="1" applyAlignment="1">
      <alignment horizontal="center" vertical="center"/>
    </xf>
  </cellXfs>
  <cellStyles count="1">
    <cellStyle name="Normal" xfId="0" builtinId="0"/>
  </cellStyles>
  <dxfs count="20">
    <dxf>
      <font>
        <color rgb="FF000000"/>
      </font>
      <fill>
        <patternFill patternType="solid">
          <fgColor rgb="FFD9EAD3"/>
          <bgColor rgb="FFD9EAD3"/>
        </patternFill>
      </fill>
    </dxf>
    <dxf>
      <font>
        <color rgb="FFFF0000"/>
      </font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CCFFCC"/>
          <bgColor rgb="FFCCFFCC"/>
        </patternFill>
      </fill>
    </dxf>
    <dxf>
      <font>
        <color rgb="FF000000"/>
      </font>
      <fill>
        <patternFill patternType="solid">
          <fgColor rgb="FFE69138"/>
          <bgColor rgb="FFE69138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theme="1"/>
      </font>
      <fill>
        <patternFill patternType="solid">
          <fgColor rgb="FFCCFFCC"/>
          <bgColor rgb="FFCCFFCC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CCFFCC"/>
          <bgColor rgb="FFCCFF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01633-1210-417E-B708-DE7D6817F155}">
  <sheetPr>
    <tabColor rgb="FF00FFFF"/>
    <outlinePr summaryBelow="0" summaryRight="0"/>
  </sheetPr>
  <dimension ref="A1:AU78"/>
  <sheetViews>
    <sheetView tabSelected="1" workbookViewId="0">
      <pane xSplit="26" ySplit="3" topLeftCell="AA4" activePane="bottomRight" state="frozen"/>
      <selection pane="topRight" activeCell="AA1" sqref="AA1"/>
      <selection pane="bottomLeft" activeCell="A4" sqref="A4"/>
      <selection pane="bottomRight" activeCell="AA4" sqref="AA4"/>
    </sheetView>
  </sheetViews>
  <sheetFormatPr defaultColWidth="12.6640625" defaultRowHeight="15.75" customHeight="1" x14ac:dyDescent="0.25"/>
  <cols>
    <col min="1" max="1" width="6.6640625" customWidth="1"/>
    <col min="2" max="2" width="8.33203125" customWidth="1"/>
    <col min="3" max="3" width="9" customWidth="1"/>
    <col min="4" max="4" width="6.77734375" customWidth="1"/>
    <col min="5" max="5" width="7.33203125" customWidth="1"/>
    <col min="6" max="6" width="6.21875" hidden="1" customWidth="1"/>
    <col min="7" max="8" width="5.88671875" customWidth="1"/>
    <col min="9" max="9" width="7.33203125" customWidth="1"/>
    <col min="10" max="10" width="6.21875" customWidth="1"/>
    <col min="11" max="14" width="5.109375" customWidth="1"/>
    <col min="15" max="16" width="5.109375" hidden="1" customWidth="1"/>
    <col min="17" max="17" width="7.6640625" hidden="1" customWidth="1"/>
    <col min="18" max="18" width="7.109375" hidden="1" customWidth="1"/>
    <col min="19" max="19" width="8.109375" hidden="1" customWidth="1"/>
    <col min="20" max="20" width="6.109375" hidden="1" customWidth="1"/>
    <col min="21" max="21" width="8.21875" hidden="1" customWidth="1"/>
    <col min="22" max="22" width="15.88671875" hidden="1" customWidth="1"/>
    <col min="23" max="23" width="7" hidden="1" customWidth="1"/>
    <col min="24" max="24" width="8.21875" hidden="1" customWidth="1"/>
    <col min="25" max="25" width="6.88671875" customWidth="1"/>
    <col min="26" max="26" width="8.44140625" customWidth="1"/>
    <col min="27" max="27" width="7.6640625" hidden="1" customWidth="1"/>
    <col min="28" max="28" width="8.77734375" hidden="1" customWidth="1"/>
    <col min="29" max="29" width="14.77734375" customWidth="1"/>
    <col min="30" max="30" width="31.77734375" customWidth="1"/>
    <col min="31" max="31" width="7.109375" customWidth="1"/>
    <col min="32" max="32" width="19.44140625" customWidth="1"/>
    <col min="33" max="33" width="34.21875" customWidth="1"/>
    <col min="34" max="34" width="9.44140625" hidden="1" customWidth="1"/>
    <col min="35" max="35" width="15.6640625" hidden="1" customWidth="1"/>
    <col min="36" max="36" width="31.109375" hidden="1" customWidth="1"/>
    <col min="37" max="37" width="10.44140625" customWidth="1"/>
    <col min="38" max="38" width="7.77734375" customWidth="1"/>
    <col min="39" max="39" width="8.33203125" customWidth="1"/>
    <col min="40" max="41" width="8.44140625" customWidth="1"/>
    <col min="42" max="42" width="8.33203125" customWidth="1"/>
    <col min="43" max="43" width="5.44140625" customWidth="1"/>
    <col min="44" max="44" width="7.33203125" customWidth="1"/>
    <col min="45" max="45" width="12.21875" hidden="1" customWidth="1"/>
    <col min="46" max="46" width="23.88671875" customWidth="1"/>
    <col min="47" max="47" width="10.88671875" customWidth="1"/>
  </cols>
  <sheetData>
    <row r="1" spans="1:47" ht="23.25" customHeight="1" x14ac:dyDescent="0.45">
      <c r="A1" s="1"/>
      <c r="B1" s="2" t="s">
        <v>0</v>
      </c>
      <c r="C1" s="3"/>
      <c r="D1" s="3"/>
      <c r="E1" s="4"/>
      <c r="F1" s="5"/>
      <c r="G1" s="5"/>
      <c r="H1" s="6" t="s">
        <v>1</v>
      </c>
      <c r="I1" s="7" t="s">
        <v>2</v>
      </c>
      <c r="J1" s="5"/>
      <c r="K1" s="8"/>
      <c r="L1" s="8"/>
      <c r="M1" s="8"/>
      <c r="N1" s="9"/>
      <c r="O1" s="9"/>
      <c r="P1" s="9"/>
      <c r="Q1" s="10"/>
      <c r="R1" s="10"/>
      <c r="S1" s="11"/>
      <c r="T1" s="11"/>
      <c r="U1" s="12"/>
      <c r="V1" s="13"/>
      <c r="W1" s="14" t="s">
        <v>3</v>
      </c>
      <c r="X1" s="14"/>
      <c r="Y1" s="14"/>
      <c r="Z1" s="14"/>
      <c r="AA1" s="14"/>
      <c r="AB1" s="14"/>
      <c r="AC1" s="15"/>
      <c r="AD1" s="15"/>
      <c r="AE1" s="16" t="s">
        <v>4</v>
      </c>
      <c r="AF1" s="15"/>
      <c r="AG1" s="15"/>
      <c r="AH1" s="17"/>
      <c r="AI1" s="18"/>
      <c r="AJ1" s="17"/>
      <c r="AK1" s="19" t="s">
        <v>5</v>
      </c>
      <c r="AL1" s="8"/>
      <c r="AM1" s="20" t="s">
        <v>6</v>
      </c>
      <c r="AN1" s="20"/>
      <c r="AO1" s="20"/>
      <c r="AP1" s="21"/>
      <c r="AQ1" s="22" t="s">
        <v>7</v>
      </c>
      <c r="AR1" s="22"/>
      <c r="AS1" s="23"/>
      <c r="AT1" s="24"/>
      <c r="AU1" s="24"/>
    </row>
    <row r="2" spans="1:47" ht="61.5" customHeight="1" x14ac:dyDescent="0.45">
      <c r="A2" s="1"/>
      <c r="B2" s="25" t="s">
        <v>8</v>
      </c>
      <c r="C2" s="25" t="s">
        <v>9</v>
      </c>
      <c r="D2" s="25" t="s">
        <v>10</v>
      </c>
      <c r="E2" s="26" t="s">
        <v>11</v>
      </c>
      <c r="F2" s="27" t="s">
        <v>12</v>
      </c>
      <c r="G2" s="27" t="s">
        <v>13</v>
      </c>
      <c r="H2" s="27" t="s">
        <v>14</v>
      </c>
      <c r="I2" s="27" t="s">
        <v>15</v>
      </c>
      <c r="J2" s="28" t="s">
        <v>16</v>
      </c>
      <c r="K2" s="29" t="s">
        <v>17</v>
      </c>
      <c r="L2" s="30"/>
      <c r="M2" s="31" t="s">
        <v>18</v>
      </c>
      <c r="N2" s="32"/>
      <c r="O2" s="31" t="s">
        <v>19</v>
      </c>
      <c r="P2" s="32"/>
      <c r="Q2" s="33" t="s">
        <v>20</v>
      </c>
      <c r="R2" s="34" t="s">
        <v>21</v>
      </c>
      <c r="S2" s="35" t="s">
        <v>22</v>
      </c>
      <c r="T2" s="36" t="s">
        <v>23</v>
      </c>
      <c r="U2" s="37" t="s">
        <v>24</v>
      </c>
      <c r="V2" s="38" t="s">
        <v>25</v>
      </c>
      <c r="W2" s="39" t="s">
        <v>26</v>
      </c>
      <c r="X2" s="40"/>
      <c r="Y2" s="39" t="s">
        <v>27</v>
      </c>
      <c r="Z2" s="40"/>
      <c r="AA2" s="39" t="s">
        <v>28</v>
      </c>
      <c r="AB2" s="40"/>
      <c r="AC2" s="41" t="s">
        <v>29</v>
      </c>
      <c r="AD2" s="42" t="s">
        <v>30</v>
      </c>
      <c r="AE2" s="33" t="s">
        <v>31</v>
      </c>
      <c r="AF2" s="41" t="s">
        <v>32</v>
      </c>
      <c r="AG2" s="43" t="s">
        <v>30</v>
      </c>
      <c r="AH2" s="44" t="s">
        <v>33</v>
      </c>
      <c r="AI2" s="44" t="s">
        <v>34</v>
      </c>
      <c r="AJ2" s="45" t="s">
        <v>35</v>
      </c>
      <c r="AK2" s="46" t="s">
        <v>36</v>
      </c>
      <c r="AL2" s="47" t="s">
        <v>37</v>
      </c>
      <c r="AM2" s="48" t="s">
        <v>38</v>
      </c>
      <c r="AN2" s="49"/>
      <c r="AO2" s="49" t="s">
        <v>39</v>
      </c>
      <c r="AP2" s="50" t="s">
        <v>40</v>
      </c>
      <c r="AQ2" s="51" t="s">
        <v>41</v>
      </c>
      <c r="AR2" s="51" t="s">
        <v>42</v>
      </c>
      <c r="AS2" s="52"/>
      <c r="AT2" s="53"/>
      <c r="AU2" s="53"/>
    </row>
    <row r="3" spans="1:47" ht="22.2" thickBot="1" x14ac:dyDescent="0.65">
      <c r="A3" s="1"/>
      <c r="B3" s="54"/>
      <c r="C3" s="54"/>
      <c r="D3" s="54"/>
      <c r="E3" s="54"/>
      <c r="F3" s="54"/>
      <c r="G3" s="54"/>
      <c r="H3" s="54"/>
      <c r="I3" s="54"/>
      <c r="J3" s="55"/>
      <c r="K3" s="56">
        <v>0.33333333333333331</v>
      </c>
      <c r="L3" s="57"/>
      <c r="M3" s="58">
        <v>0.54166666666666663</v>
      </c>
      <c r="N3" s="59"/>
      <c r="O3" s="58">
        <v>0.72916666666666663</v>
      </c>
      <c r="P3" s="60"/>
      <c r="Q3" s="61"/>
      <c r="R3" s="62"/>
      <c r="S3" s="63"/>
      <c r="T3" s="64"/>
      <c r="U3" s="65"/>
      <c r="V3" s="66"/>
      <c r="W3" s="62"/>
      <c r="X3" s="67" t="s">
        <v>43</v>
      </c>
      <c r="Y3" s="62"/>
      <c r="Z3" s="67" t="s">
        <v>43</v>
      </c>
      <c r="AA3" s="62"/>
      <c r="AB3" s="67" t="s">
        <v>43</v>
      </c>
      <c r="AC3" s="68"/>
      <c r="AD3" s="69"/>
      <c r="AE3" s="68"/>
      <c r="AF3" s="68"/>
      <c r="AG3" s="69"/>
      <c r="AH3" s="70"/>
      <c r="AI3" s="70"/>
      <c r="AJ3" s="55"/>
      <c r="AK3" s="55"/>
      <c r="AL3" s="71"/>
      <c r="AM3" s="72"/>
      <c r="AN3" s="73"/>
      <c r="AO3" s="73"/>
      <c r="AP3" s="71"/>
      <c r="AQ3" s="74"/>
      <c r="AR3" s="74"/>
      <c r="AS3" s="75"/>
      <c r="AT3" s="76"/>
      <c r="AU3" s="76"/>
    </row>
    <row r="4" spans="1:47" ht="17.25" customHeight="1" thickTop="1" x14ac:dyDescent="0.6">
      <c r="A4" s="77"/>
      <c r="B4" s="78" t="s">
        <v>44</v>
      </c>
      <c r="C4" s="79">
        <v>63</v>
      </c>
      <c r="D4" s="80">
        <v>1.01</v>
      </c>
      <c r="E4" s="81">
        <f t="shared" ref="E4:E9" si="0">C4*D4</f>
        <v>63.63</v>
      </c>
      <c r="F4" s="82">
        <f t="shared" ref="F4:F9" si="1">E4*10.75</f>
        <v>684.02250000000004</v>
      </c>
      <c r="G4" s="82">
        <f t="shared" ref="G4:G9" si="2">E4*7.75</f>
        <v>493.13249999999999</v>
      </c>
      <c r="H4" s="82">
        <f t="shared" ref="H4:H9" si="3">E4*3.75</f>
        <v>238.61250000000001</v>
      </c>
      <c r="I4" s="82">
        <f t="shared" ref="I4:I9" si="4">E4*4</f>
        <v>254.52</v>
      </c>
      <c r="J4" s="83">
        <f t="shared" ref="J4:J9" si="5">E4*3</f>
        <v>190.89000000000001</v>
      </c>
      <c r="K4" s="84">
        <v>30</v>
      </c>
      <c r="L4" s="85">
        <v>180</v>
      </c>
      <c r="M4" s="86">
        <v>180</v>
      </c>
      <c r="N4" s="87">
        <v>96</v>
      </c>
      <c r="O4" s="88"/>
      <c r="P4" s="89"/>
      <c r="Q4" s="90">
        <f t="shared" ref="Q4:Q9" si="6">K4-H4</f>
        <v>-208.61250000000001</v>
      </c>
      <c r="R4" s="91">
        <v>1134</v>
      </c>
      <c r="S4" s="91">
        <f t="shared" ref="S4:S9" si="7">AR4</f>
        <v>473.40719999999999</v>
      </c>
      <c r="T4" s="91">
        <f t="shared" ref="T4:T9" si="8">K4+M4+O4</f>
        <v>210</v>
      </c>
      <c r="U4" s="92">
        <f t="shared" ref="U4:U9" si="9">(AL4+AM4-M4-N4-O4-P4)/E4</f>
        <v>1.4144271570014144</v>
      </c>
      <c r="V4" s="93"/>
      <c r="W4" s="94">
        <f t="shared" ref="W4:W9" si="10">(R4-S4+K4+L4+AO4)/E4</f>
        <v>13.682112211221122</v>
      </c>
      <c r="X4" s="95" t="str">
        <f t="shared" ref="X4:X9" si="11">IF(W4="","",IF(ROUND(W4,0)&lt;10,"ต้องเร่งเติม",IF(ROUND(W4,0)&lt;=16,"ปกติ","ไม่ต้องทำเพิ่ม")))</f>
        <v>ปกติ</v>
      </c>
      <c r="Y4" s="94">
        <f t="shared" ref="Y4:Y9" si="12">(R4-S4-H4+K4+L4+M4+N4+AO4)/E4</f>
        <v>14.269688826025458</v>
      </c>
      <c r="Z4" s="95" t="str">
        <f t="shared" ref="Z4:Z9" si="13">IF(Y4="","",IF(ROUND(Y4,0)&lt;10,"ต้องเร่งเติม",IF(ROUND(Y4,0)&lt;=16,"ปกติ","ไม่ต้องทำเพิ่ม")))</f>
        <v>ปกติ</v>
      </c>
      <c r="AA4" s="96">
        <f t="shared" ref="AA4:AA9" si="14">(R4-S4-H4-I4+K4+L4+M4+N4+O4+P4+AO4)/E4</f>
        <v>10.269688826025458</v>
      </c>
      <c r="AB4" s="95" t="str">
        <f t="shared" ref="AB4:AB9" si="15">IF(AA4="","",IF(ROUND(AA4,0)&lt;10,"ต้องเร่งเติม",IF(ROUND(AA4,0)&lt;=16,"ปกติ","ไม่ต้องทำพิ่ม")))</f>
        <v>ปกติ</v>
      </c>
      <c r="AC4" s="97"/>
      <c r="AD4" s="98" t="s">
        <v>45</v>
      </c>
      <c r="AE4" s="99">
        <f t="shared" ref="AE4:AE9" si="16">(K4+M4)-(H4+I4)</f>
        <v>-283.13250000000005</v>
      </c>
      <c r="AF4" s="97"/>
      <c r="AG4" s="98" t="s">
        <v>46</v>
      </c>
      <c r="AH4" s="100">
        <f t="shared" ref="AH4:AH9" si="17">(K4+M4+O4)-(H4+I4+J4)</f>
        <v>-474.02250000000004</v>
      </c>
      <c r="AI4" s="100" t="s">
        <v>25</v>
      </c>
      <c r="AJ4" s="98" t="s">
        <v>47</v>
      </c>
      <c r="AK4" s="8" t="s">
        <v>48</v>
      </c>
      <c r="AL4" s="101">
        <v>366</v>
      </c>
      <c r="AM4" s="102"/>
      <c r="AN4" s="102"/>
      <c r="AO4" s="102"/>
      <c r="AP4" s="103">
        <v>0.96</v>
      </c>
      <c r="AQ4" s="74">
        <f t="shared" ref="AQ4:AQ9" si="18">(E4*AP4)*10.75</f>
        <v>656.66160000000002</v>
      </c>
      <c r="AR4" s="74">
        <f t="shared" ref="AR4:AR9" si="19">(E4*AP4)*7.75</f>
        <v>473.40719999999999</v>
      </c>
      <c r="AS4" s="74"/>
      <c r="AT4" s="76"/>
      <c r="AU4" s="76"/>
    </row>
    <row r="5" spans="1:47" ht="17.25" customHeight="1" x14ac:dyDescent="0.6">
      <c r="A5" s="104"/>
      <c r="B5" s="105" t="s">
        <v>49</v>
      </c>
      <c r="C5" s="9">
        <v>61</v>
      </c>
      <c r="D5" s="106">
        <v>1</v>
      </c>
      <c r="E5" s="107">
        <f t="shared" si="0"/>
        <v>61</v>
      </c>
      <c r="F5" s="108">
        <f t="shared" si="1"/>
        <v>655.75</v>
      </c>
      <c r="G5" s="108">
        <f t="shared" si="2"/>
        <v>472.75</v>
      </c>
      <c r="H5" s="108">
        <f t="shared" si="3"/>
        <v>228.75</v>
      </c>
      <c r="I5" s="108">
        <f t="shared" si="4"/>
        <v>244</v>
      </c>
      <c r="J5" s="83">
        <f t="shared" si="5"/>
        <v>183</v>
      </c>
      <c r="K5" s="109">
        <v>180</v>
      </c>
      <c r="L5" s="85">
        <v>180</v>
      </c>
      <c r="M5" s="110">
        <v>180</v>
      </c>
      <c r="N5" s="111"/>
      <c r="O5" s="88"/>
      <c r="P5" s="89"/>
      <c r="Q5" s="112">
        <f t="shared" si="6"/>
        <v>-48.75</v>
      </c>
      <c r="R5" s="113">
        <v>982</v>
      </c>
      <c r="S5" s="91">
        <f t="shared" si="7"/>
        <v>449.11249999999995</v>
      </c>
      <c r="T5" s="113">
        <f t="shared" si="8"/>
        <v>360</v>
      </c>
      <c r="U5" s="92">
        <f t="shared" si="9"/>
        <v>3.2131147540983607</v>
      </c>
      <c r="V5" s="114"/>
      <c r="W5" s="115">
        <f t="shared" si="10"/>
        <v>14.637500000000001</v>
      </c>
      <c r="X5" s="95" t="str">
        <f t="shared" si="11"/>
        <v>ปกติ</v>
      </c>
      <c r="Y5" s="115">
        <f t="shared" si="12"/>
        <v>13.838319672131147</v>
      </c>
      <c r="Z5" s="95" t="str">
        <f t="shared" si="13"/>
        <v>ปกติ</v>
      </c>
      <c r="AA5" s="116">
        <f t="shared" si="14"/>
        <v>9.8383196721311474</v>
      </c>
      <c r="AB5" s="95" t="str">
        <f t="shared" si="15"/>
        <v>ปกติ</v>
      </c>
      <c r="AC5" s="117"/>
      <c r="AD5" s="98" t="s">
        <v>50</v>
      </c>
      <c r="AE5" s="118">
        <f t="shared" si="16"/>
        <v>-112.75</v>
      </c>
      <c r="AF5" s="117"/>
      <c r="AG5" s="98" t="s">
        <v>51</v>
      </c>
      <c r="AH5" s="119">
        <f t="shared" si="17"/>
        <v>-295.75</v>
      </c>
      <c r="AI5" s="119" t="s">
        <v>52</v>
      </c>
      <c r="AJ5" s="98" t="s">
        <v>53</v>
      </c>
      <c r="AK5" s="8" t="s">
        <v>54</v>
      </c>
      <c r="AL5" s="101">
        <v>376</v>
      </c>
      <c r="AM5" s="102"/>
      <c r="AN5" s="102"/>
      <c r="AO5" s="102"/>
      <c r="AP5" s="103">
        <v>0.95</v>
      </c>
      <c r="AQ5" s="74">
        <f t="shared" si="18"/>
        <v>622.96249999999998</v>
      </c>
      <c r="AR5" s="74">
        <f t="shared" si="19"/>
        <v>449.11249999999995</v>
      </c>
      <c r="AS5" s="74"/>
      <c r="AT5" s="76"/>
      <c r="AU5" s="76"/>
    </row>
    <row r="6" spans="1:47" ht="17.25" customHeight="1" x14ac:dyDescent="0.6">
      <c r="A6" s="104"/>
      <c r="B6" s="105" t="s">
        <v>55</v>
      </c>
      <c r="C6" s="9">
        <v>54</v>
      </c>
      <c r="D6" s="106">
        <v>0.93</v>
      </c>
      <c r="E6" s="107">
        <f t="shared" si="0"/>
        <v>50.220000000000006</v>
      </c>
      <c r="F6" s="108">
        <f t="shared" si="1"/>
        <v>539.86500000000001</v>
      </c>
      <c r="G6" s="108">
        <f t="shared" si="2"/>
        <v>389.20500000000004</v>
      </c>
      <c r="H6" s="108">
        <f t="shared" si="3"/>
        <v>188.32500000000002</v>
      </c>
      <c r="I6" s="108">
        <f t="shared" si="4"/>
        <v>200.88000000000002</v>
      </c>
      <c r="J6" s="120">
        <f t="shared" si="5"/>
        <v>150.66000000000003</v>
      </c>
      <c r="K6" s="109">
        <v>120</v>
      </c>
      <c r="L6" s="85">
        <v>240</v>
      </c>
      <c r="M6" s="110">
        <v>120</v>
      </c>
      <c r="N6" s="111">
        <v>80</v>
      </c>
      <c r="O6" s="88"/>
      <c r="P6" s="89"/>
      <c r="Q6" s="121">
        <f t="shared" si="6"/>
        <v>-68.325000000000017</v>
      </c>
      <c r="R6" s="113">
        <v>466</v>
      </c>
      <c r="S6" s="91">
        <f t="shared" si="7"/>
        <v>342.50040000000001</v>
      </c>
      <c r="T6" s="113">
        <f t="shared" si="8"/>
        <v>240</v>
      </c>
      <c r="U6" s="92">
        <f t="shared" si="9"/>
        <v>10.493827160493826</v>
      </c>
      <c r="V6" s="122"/>
      <c r="W6" s="115">
        <f t="shared" si="10"/>
        <v>9.627630426125048</v>
      </c>
      <c r="X6" s="95" t="str">
        <f t="shared" si="11"/>
        <v>ปกติ</v>
      </c>
      <c r="Y6" s="115">
        <f t="shared" si="12"/>
        <v>9.860107526881718</v>
      </c>
      <c r="Z6" s="95" t="str">
        <f t="shared" si="13"/>
        <v>ปกติ</v>
      </c>
      <c r="AA6" s="116">
        <f t="shared" si="14"/>
        <v>5.8601075268817189</v>
      </c>
      <c r="AB6" s="95" t="str">
        <f t="shared" si="15"/>
        <v>ต้องเร่งเติม</v>
      </c>
      <c r="AC6" s="117"/>
      <c r="AD6" s="98" t="s">
        <v>56</v>
      </c>
      <c r="AE6" s="118">
        <f t="shared" si="16"/>
        <v>-149.20500000000004</v>
      </c>
      <c r="AF6" s="117"/>
      <c r="AG6" s="123" t="s">
        <v>57</v>
      </c>
      <c r="AH6" s="119">
        <f t="shared" si="17"/>
        <v>-299.86500000000001</v>
      </c>
      <c r="AI6" s="119" t="s">
        <v>58</v>
      </c>
      <c r="AJ6" s="98" t="s">
        <v>59</v>
      </c>
      <c r="AK6" s="8" t="s">
        <v>58</v>
      </c>
      <c r="AL6" s="101">
        <v>727</v>
      </c>
      <c r="AM6" s="102"/>
      <c r="AN6" s="102"/>
      <c r="AO6" s="102"/>
      <c r="AP6" s="103">
        <v>0.88</v>
      </c>
      <c r="AQ6" s="74">
        <f t="shared" si="18"/>
        <v>475.08120000000002</v>
      </c>
      <c r="AR6" s="74">
        <f t="shared" si="19"/>
        <v>342.50040000000001</v>
      </c>
      <c r="AS6" s="74"/>
      <c r="AT6" s="76"/>
      <c r="AU6" s="76"/>
    </row>
    <row r="7" spans="1:47" ht="17.25" customHeight="1" x14ac:dyDescent="0.6">
      <c r="A7" s="77"/>
      <c r="B7" s="105" t="s">
        <v>60</v>
      </c>
      <c r="C7" s="9">
        <v>58</v>
      </c>
      <c r="D7" s="124">
        <v>0.97</v>
      </c>
      <c r="E7" s="107">
        <f t="shared" si="0"/>
        <v>56.26</v>
      </c>
      <c r="F7" s="108">
        <f t="shared" si="1"/>
        <v>604.79499999999996</v>
      </c>
      <c r="G7" s="108">
        <f t="shared" si="2"/>
        <v>436.01499999999999</v>
      </c>
      <c r="H7" s="108">
        <f t="shared" si="3"/>
        <v>210.97499999999999</v>
      </c>
      <c r="I7" s="108">
        <f t="shared" si="4"/>
        <v>225.04</v>
      </c>
      <c r="J7" s="120">
        <f t="shared" si="5"/>
        <v>168.78</v>
      </c>
      <c r="K7" s="109">
        <v>121</v>
      </c>
      <c r="L7" s="85">
        <v>60</v>
      </c>
      <c r="M7" s="110">
        <v>120</v>
      </c>
      <c r="N7" s="111">
        <v>120</v>
      </c>
      <c r="O7" s="88"/>
      <c r="P7" s="89"/>
      <c r="Q7" s="112">
        <f t="shared" si="6"/>
        <v>-89.974999999999994</v>
      </c>
      <c r="R7" s="113">
        <v>1118</v>
      </c>
      <c r="S7" s="91">
        <f t="shared" si="7"/>
        <v>401.13380000000001</v>
      </c>
      <c r="T7" s="113">
        <f t="shared" si="8"/>
        <v>241</v>
      </c>
      <c r="U7" s="92">
        <f t="shared" si="9"/>
        <v>6.7365801635264848</v>
      </c>
      <c r="V7" s="122"/>
      <c r="W7" s="115">
        <f t="shared" si="10"/>
        <v>15.959228581585496</v>
      </c>
      <c r="X7" s="95" t="str">
        <f t="shared" si="11"/>
        <v>ปกติ</v>
      </c>
      <c r="Y7" s="115">
        <f t="shared" si="12"/>
        <v>16.47513686455741</v>
      </c>
      <c r="Z7" s="95" t="str">
        <f t="shared" si="13"/>
        <v>ปกติ</v>
      </c>
      <c r="AA7" s="116">
        <f t="shared" si="14"/>
        <v>12.475136864557411</v>
      </c>
      <c r="AB7" s="95" t="str">
        <f t="shared" si="15"/>
        <v>ปกติ</v>
      </c>
      <c r="AC7" s="125"/>
      <c r="AD7" s="98" t="s">
        <v>61</v>
      </c>
      <c r="AE7" s="118">
        <f t="shared" si="16"/>
        <v>-195.01499999999999</v>
      </c>
      <c r="AF7" s="117"/>
      <c r="AG7" s="98" t="s">
        <v>62</v>
      </c>
      <c r="AH7" s="119">
        <f t="shared" si="17"/>
        <v>-363.79499999999996</v>
      </c>
      <c r="AI7" s="119" t="s">
        <v>54</v>
      </c>
      <c r="AJ7" s="98" t="s">
        <v>63</v>
      </c>
      <c r="AK7" s="8" t="s">
        <v>64</v>
      </c>
      <c r="AL7" s="126">
        <v>619</v>
      </c>
      <c r="AM7" s="102"/>
      <c r="AN7" s="102"/>
      <c r="AO7" s="102"/>
      <c r="AP7" s="103">
        <v>0.92</v>
      </c>
      <c r="AQ7" s="74">
        <f t="shared" si="18"/>
        <v>556.41139999999996</v>
      </c>
      <c r="AR7" s="74">
        <f t="shared" si="19"/>
        <v>401.13380000000001</v>
      </c>
      <c r="AS7" s="74"/>
      <c r="AT7" s="127"/>
      <c r="AU7" s="76"/>
    </row>
    <row r="8" spans="1:47" ht="17.25" customHeight="1" x14ac:dyDescent="0.6">
      <c r="A8" s="77"/>
      <c r="B8" s="128" t="s">
        <v>65</v>
      </c>
      <c r="C8" s="9">
        <v>54</v>
      </c>
      <c r="D8" s="124">
        <v>0.93</v>
      </c>
      <c r="E8" s="107">
        <f t="shared" si="0"/>
        <v>50.220000000000006</v>
      </c>
      <c r="F8" s="108">
        <f t="shared" si="1"/>
        <v>539.86500000000001</v>
      </c>
      <c r="G8" s="108">
        <f t="shared" si="2"/>
        <v>389.20500000000004</v>
      </c>
      <c r="H8" s="108">
        <f t="shared" si="3"/>
        <v>188.32500000000002</v>
      </c>
      <c r="I8" s="108">
        <f t="shared" si="4"/>
        <v>200.88000000000002</v>
      </c>
      <c r="J8" s="120">
        <f t="shared" si="5"/>
        <v>150.66000000000003</v>
      </c>
      <c r="K8" s="109">
        <f>63+63+31+12</f>
        <v>169</v>
      </c>
      <c r="L8" s="85"/>
      <c r="M8" s="110">
        <f>80+40</f>
        <v>120</v>
      </c>
      <c r="N8" s="111">
        <f>40+80</f>
        <v>120</v>
      </c>
      <c r="O8" s="88"/>
      <c r="P8" s="89"/>
      <c r="Q8" s="112">
        <f t="shared" si="6"/>
        <v>-19.325000000000017</v>
      </c>
      <c r="R8" s="113">
        <v>809</v>
      </c>
      <c r="S8" s="91">
        <f t="shared" si="7"/>
        <v>342.50040000000001</v>
      </c>
      <c r="T8" s="113">
        <f t="shared" si="8"/>
        <v>289</v>
      </c>
      <c r="U8" s="92">
        <f t="shared" si="9"/>
        <v>5.3365193150139376</v>
      </c>
      <c r="V8" s="129"/>
      <c r="W8" s="115">
        <f t="shared" si="10"/>
        <v>12.654313022700117</v>
      </c>
      <c r="X8" s="95" t="str">
        <f t="shared" si="11"/>
        <v>ปกติ</v>
      </c>
      <c r="Y8" s="115">
        <f t="shared" si="12"/>
        <v>13.683285543608122</v>
      </c>
      <c r="Z8" s="95" t="str">
        <f t="shared" si="13"/>
        <v>ปกติ</v>
      </c>
      <c r="AA8" s="116">
        <f t="shared" si="14"/>
        <v>9.6832855436081218</v>
      </c>
      <c r="AB8" s="95" t="str">
        <f t="shared" si="15"/>
        <v>ปกติ</v>
      </c>
      <c r="AC8" s="125"/>
      <c r="AD8" s="98" t="s">
        <v>66</v>
      </c>
      <c r="AE8" s="118">
        <f t="shared" si="16"/>
        <v>-100.20500000000004</v>
      </c>
      <c r="AF8" s="117"/>
      <c r="AG8" s="98" t="s">
        <v>67</v>
      </c>
      <c r="AH8" s="119">
        <f t="shared" si="17"/>
        <v>-250.86500000000001</v>
      </c>
      <c r="AI8" s="119"/>
      <c r="AJ8" s="98"/>
      <c r="AK8" s="8" t="s">
        <v>25</v>
      </c>
      <c r="AL8" s="101">
        <v>508</v>
      </c>
      <c r="AM8" s="102"/>
      <c r="AN8" s="102"/>
      <c r="AO8" s="102"/>
      <c r="AP8" s="103">
        <v>0.88</v>
      </c>
      <c r="AQ8" s="74">
        <f t="shared" si="18"/>
        <v>475.08120000000002</v>
      </c>
      <c r="AR8" s="74">
        <f t="shared" si="19"/>
        <v>342.50040000000001</v>
      </c>
      <c r="AS8" s="74"/>
      <c r="AT8" s="76"/>
      <c r="AU8" s="76"/>
    </row>
    <row r="9" spans="1:47" ht="17.25" customHeight="1" x14ac:dyDescent="0.6">
      <c r="A9" s="77"/>
      <c r="B9" s="128" t="s">
        <v>68</v>
      </c>
      <c r="C9" s="9">
        <v>56</v>
      </c>
      <c r="D9" s="124">
        <v>0.98</v>
      </c>
      <c r="E9" s="107">
        <f t="shared" si="0"/>
        <v>54.879999999999995</v>
      </c>
      <c r="F9" s="108">
        <f t="shared" si="1"/>
        <v>589.95999999999992</v>
      </c>
      <c r="G9" s="108">
        <f t="shared" si="2"/>
        <v>425.31999999999994</v>
      </c>
      <c r="H9" s="108">
        <f t="shared" si="3"/>
        <v>205.79999999999998</v>
      </c>
      <c r="I9" s="108">
        <f t="shared" si="4"/>
        <v>219.51999999999998</v>
      </c>
      <c r="J9" s="120">
        <f t="shared" si="5"/>
        <v>164.64</v>
      </c>
      <c r="K9" s="109">
        <v>140</v>
      </c>
      <c r="L9" s="85">
        <v>180</v>
      </c>
      <c r="M9" s="110">
        <v>180</v>
      </c>
      <c r="N9" s="111"/>
      <c r="O9" s="130"/>
      <c r="P9" s="131"/>
      <c r="Q9" s="121">
        <f t="shared" si="6"/>
        <v>-65.799999999999983</v>
      </c>
      <c r="R9" s="113">
        <v>857</v>
      </c>
      <c r="S9" s="91">
        <f t="shared" si="7"/>
        <v>395.54759999999999</v>
      </c>
      <c r="T9" s="113">
        <f t="shared" si="8"/>
        <v>320</v>
      </c>
      <c r="U9" s="92">
        <f t="shared" si="9"/>
        <v>0.4919825072886298</v>
      </c>
      <c r="V9" s="129"/>
      <c r="W9" s="115">
        <f t="shared" si="10"/>
        <v>14.239293002915453</v>
      </c>
      <c r="X9" s="95" t="str">
        <f t="shared" si="11"/>
        <v>ปกติ</v>
      </c>
      <c r="Y9" s="115">
        <f t="shared" si="12"/>
        <v>13.769176384839652</v>
      </c>
      <c r="Z9" s="95" t="str">
        <f t="shared" si="13"/>
        <v>ปกติ</v>
      </c>
      <c r="AA9" s="116">
        <f t="shared" si="14"/>
        <v>9.7691763848396516</v>
      </c>
      <c r="AB9" s="95" t="str">
        <f t="shared" si="15"/>
        <v>ปกติ</v>
      </c>
      <c r="AC9" s="97"/>
      <c r="AD9" s="98" t="s">
        <v>69</v>
      </c>
      <c r="AE9" s="118">
        <f t="shared" si="16"/>
        <v>-105.31999999999994</v>
      </c>
      <c r="AF9" s="117"/>
      <c r="AG9" s="98" t="s">
        <v>70</v>
      </c>
      <c r="AH9" s="119">
        <f t="shared" si="17"/>
        <v>-269.95999999999992</v>
      </c>
      <c r="AI9" s="119" t="s">
        <v>25</v>
      </c>
      <c r="AJ9" s="98" t="s">
        <v>71</v>
      </c>
      <c r="AK9" s="8" t="s">
        <v>72</v>
      </c>
      <c r="AL9" s="101">
        <v>207</v>
      </c>
      <c r="AM9" s="102"/>
      <c r="AN9" s="102"/>
      <c r="AO9" s="102"/>
      <c r="AP9" s="103">
        <v>0.93</v>
      </c>
      <c r="AQ9" s="74">
        <f t="shared" si="18"/>
        <v>548.66279999999995</v>
      </c>
      <c r="AR9" s="74">
        <f t="shared" si="19"/>
        <v>395.54759999999999</v>
      </c>
      <c r="AS9" s="74"/>
      <c r="AT9" s="76"/>
      <c r="AU9" s="76"/>
    </row>
    <row r="10" spans="1:47" ht="17.25" customHeight="1" x14ac:dyDescent="0.25">
      <c r="A10" s="132"/>
      <c r="B10" s="133"/>
      <c r="C10" s="134"/>
      <c r="D10" s="134"/>
      <c r="E10" s="134"/>
      <c r="F10" s="135"/>
      <c r="G10" s="135"/>
      <c r="H10" s="135"/>
      <c r="I10" s="135"/>
      <c r="J10" s="136"/>
      <c r="K10" s="137"/>
      <c r="L10" s="138"/>
      <c r="M10" s="139"/>
      <c r="N10" s="140"/>
      <c r="O10" s="141"/>
      <c r="P10" s="142"/>
      <c r="Q10" s="143"/>
      <c r="R10" s="144"/>
      <c r="S10" s="144"/>
      <c r="T10" s="133"/>
      <c r="U10" s="134"/>
      <c r="V10" s="145"/>
      <c r="W10" s="134"/>
      <c r="X10" s="134"/>
      <c r="Y10" s="134"/>
      <c r="Z10" s="134"/>
      <c r="AA10" s="134"/>
      <c r="AB10" s="134"/>
      <c r="AC10" s="146"/>
      <c r="AD10" s="146" t="s">
        <v>3</v>
      </c>
      <c r="AE10" s="133"/>
      <c r="AF10" s="146"/>
      <c r="AG10" s="146"/>
      <c r="AH10" s="147"/>
      <c r="AI10" s="147"/>
      <c r="AJ10" s="133"/>
      <c r="AK10" s="148" t="s">
        <v>73</v>
      </c>
      <c r="AL10" s="149"/>
      <c r="AM10" s="150"/>
      <c r="AN10" s="145"/>
      <c r="AO10" s="145"/>
      <c r="AP10" s="151"/>
      <c r="AQ10" s="152"/>
      <c r="AR10" s="152"/>
      <c r="AS10" s="152"/>
      <c r="AT10" s="153"/>
      <c r="AU10" s="153"/>
    </row>
    <row r="11" spans="1:47" ht="17.25" customHeight="1" x14ac:dyDescent="0.6">
      <c r="A11" s="104"/>
      <c r="B11" s="128" t="s">
        <v>74</v>
      </c>
      <c r="C11" s="9">
        <v>66</v>
      </c>
      <c r="D11" s="124">
        <v>0.95</v>
      </c>
      <c r="E11" s="107">
        <f t="shared" ref="E11:E17" si="20">C11*D11</f>
        <v>62.699999999999996</v>
      </c>
      <c r="F11" s="108">
        <f t="shared" ref="F11:F17" si="21">E11*10.75</f>
        <v>674.02499999999998</v>
      </c>
      <c r="G11" s="108">
        <f t="shared" ref="G11:G17" si="22">E11*7.75</f>
        <v>485.92499999999995</v>
      </c>
      <c r="H11" s="108">
        <f t="shared" ref="H11:H17" si="23">E11*3.75</f>
        <v>235.12499999999997</v>
      </c>
      <c r="I11" s="108">
        <f t="shared" ref="I11:I17" si="24">E11*4</f>
        <v>250.79999999999998</v>
      </c>
      <c r="J11" s="120">
        <f t="shared" ref="J11:J17" si="25">E11*3</f>
        <v>188.1</v>
      </c>
      <c r="K11" s="110">
        <v>270</v>
      </c>
      <c r="L11" s="111"/>
      <c r="M11" s="110">
        <v>123</v>
      </c>
      <c r="N11" s="111">
        <v>200</v>
      </c>
      <c r="O11" s="130"/>
      <c r="P11" s="131"/>
      <c r="Q11" s="121">
        <f t="shared" ref="Q11:Q17" si="26">K11-H11</f>
        <v>34.875000000000028</v>
      </c>
      <c r="R11" s="113">
        <v>956</v>
      </c>
      <c r="S11" s="91">
        <f t="shared" ref="S11:S15" si="27">AR11</f>
        <v>437.33249999999998</v>
      </c>
      <c r="T11" s="113">
        <f t="shared" ref="T11:T17" si="28">K11+M11+O11</f>
        <v>393</v>
      </c>
      <c r="U11" s="92">
        <f t="shared" ref="U11:U17" si="29">(AL11+AM11-M11-N11-O11-P11)/E11</f>
        <v>1.1164274322169059</v>
      </c>
      <c r="V11" s="129"/>
      <c r="W11" s="115">
        <f t="shared" ref="W11:W17" si="30">(R11-S11+K11+L11+AO11)/E11</f>
        <v>12.57842902711324</v>
      </c>
      <c r="X11" s="95" t="str">
        <f t="shared" ref="X11:X17" si="31">IF(W11="","",IF(ROUND(W11,0)&lt;10,"ต้องเร่งเติม",IF(ROUND(W11,0)&lt;=16,"ปกติ","ไม่ต้องทำเพิ่ม")))</f>
        <v>ปกติ</v>
      </c>
      <c r="Y11" s="115">
        <f t="shared" ref="Y11:Y17" si="32">(R11-S11-H11+K11+L11+M11+N11+AO11)/E11</f>
        <v>13.97994417862839</v>
      </c>
      <c r="Z11" s="95" t="str">
        <f t="shared" ref="Z11:Z17" si="33">IF(Y11="","",IF(ROUND(Y11,0)&lt;10,"ต้องเร่งเติม",IF(ROUND(Y11,0)&lt;=16,"ปกติ","ไม่ต้องทำเพิ่ม")))</f>
        <v>ปกติ</v>
      </c>
      <c r="AA11" s="116">
        <f t="shared" ref="AA11:AA17" si="34">(R11-S11-H11-I11+K11+L11+M11+N11+O11+P11+AO11)/E11</f>
        <v>9.97994417862839</v>
      </c>
      <c r="AB11" s="95" t="str">
        <f t="shared" ref="AB11:AB17" si="35">IF(AA11="","",IF(ROUND(AA11,0)&lt;10,"ต้องเร่งเติม",IF(ROUND(AA11,0)&lt;=16,"ปกติ","ไม่ต้องทำพิ่ม")))</f>
        <v>ปกติ</v>
      </c>
      <c r="AC11" s="125"/>
      <c r="AD11" s="98" t="s">
        <v>75</v>
      </c>
      <c r="AE11" s="118">
        <f t="shared" ref="AE11:AE17" si="36">(K11+M11)-(H11+I11)</f>
        <v>-92.924999999999955</v>
      </c>
      <c r="AF11" s="125"/>
      <c r="AG11" s="98" t="s">
        <v>76</v>
      </c>
      <c r="AH11" s="119">
        <f t="shared" ref="AH11:AH17" si="37">(K11+M11+O11)-(H11+I11+J11)</f>
        <v>-281.02499999999998</v>
      </c>
      <c r="AI11" s="119"/>
      <c r="AJ11" s="154"/>
      <c r="AK11" s="8" t="s">
        <v>77</v>
      </c>
      <c r="AL11" s="101">
        <v>393</v>
      </c>
      <c r="AM11" s="102"/>
      <c r="AN11" s="102"/>
      <c r="AO11" s="102"/>
      <c r="AP11" s="103">
        <v>0.9</v>
      </c>
      <c r="AQ11" s="74">
        <f t="shared" ref="AQ11:AQ17" si="38">(E11*AP11)*10.75</f>
        <v>606.62249999999995</v>
      </c>
      <c r="AR11" s="74">
        <f t="shared" ref="AR11:AR17" si="39">(E11*AP11)*7.75</f>
        <v>437.33249999999998</v>
      </c>
      <c r="AS11" s="74"/>
      <c r="AT11" s="76"/>
      <c r="AU11" s="76"/>
    </row>
    <row r="12" spans="1:47" ht="17.25" customHeight="1" x14ac:dyDescent="0.6">
      <c r="A12" s="104"/>
      <c r="B12" s="128" t="s">
        <v>78</v>
      </c>
      <c r="C12" s="9">
        <v>63</v>
      </c>
      <c r="D12" s="124">
        <v>1.03</v>
      </c>
      <c r="E12" s="107">
        <f t="shared" si="20"/>
        <v>64.89</v>
      </c>
      <c r="F12" s="108">
        <f t="shared" si="21"/>
        <v>697.5675</v>
      </c>
      <c r="G12" s="108">
        <f t="shared" si="22"/>
        <v>502.89749999999998</v>
      </c>
      <c r="H12" s="108">
        <f t="shared" si="23"/>
        <v>243.33750000000001</v>
      </c>
      <c r="I12" s="108">
        <f t="shared" si="24"/>
        <v>259.56</v>
      </c>
      <c r="J12" s="120">
        <f t="shared" si="25"/>
        <v>194.67000000000002</v>
      </c>
      <c r="K12" s="110">
        <v>180</v>
      </c>
      <c r="L12" s="111">
        <v>114</v>
      </c>
      <c r="M12" s="110">
        <v>180</v>
      </c>
      <c r="N12" s="111"/>
      <c r="O12" s="130"/>
      <c r="P12" s="131"/>
      <c r="Q12" s="121">
        <f t="shared" si="26"/>
        <v>-63.337500000000006</v>
      </c>
      <c r="R12" s="113">
        <v>1160</v>
      </c>
      <c r="S12" s="91">
        <f t="shared" si="27"/>
        <v>492.83954999999997</v>
      </c>
      <c r="T12" s="113">
        <f t="shared" si="28"/>
        <v>360</v>
      </c>
      <c r="U12" s="92">
        <f t="shared" si="29"/>
        <v>1.7568192325473879</v>
      </c>
      <c r="V12" s="114"/>
      <c r="W12" s="115">
        <f t="shared" si="30"/>
        <v>14.81215056249037</v>
      </c>
      <c r="X12" s="95" t="str">
        <f t="shared" si="31"/>
        <v>ปกติ</v>
      </c>
      <c r="Y12" s="115">
        <f t="shared" si="32"/>
        <v>13.836075666512562</v>
      </c>
      <c r="Z12" s="95" t="str">
        <f t="shared" si="33"/>
        <v>ปกติ</v>
      </c>
      <c r="AA12" s="116">
        <f t="shared" si="34"/>
        <v>9.8360756665125599</v>
      </c>
      <c r="AB12" s="95" t="str">
        <f t="shared" si="35"/>
        <v>ปกติ</v>
      </c>
      <c r="AC12" s="125"/>
      <c r="AD12" s="98" t="s">
        <v>79</v>
      </c>
      <c r="AE12" s="118">
        <f t="shared" si="36"/>
        <v>-142.89750000000004</v>
      </c>
      <c r="AF12" s="117"/>
      <c r="AG12" s="98" t="s">
        <v>80</v>
      </c>
      <c r="AH12" s="119">
        <f t="shared" si="37"/>
        <v>-337.56750000000011</v>
      </c>
      <c r="AI12" s="119"/>
      <c r="AJ12" s="114"/>
      <c r="AK12" s="8" t="s">
        <v>81</v>
      </c>
      <c r="AL12" s="101">
        <v>294</v>
      </c>
      <c r="AM12" s="102"/>
      <c r="AN12" s="102"/>
      <c r="AO12" s="102"/>
      <c r="AP12" s="103">
        <v>0.98</v>
      </c>
      <c r="AQ12" s="74">
        <f t="shared" si="38"/>
        <v>683.61614999999995</v>
      </c>
      <c r="AR12" s="74">
        <f t="shared" si="39"/>
        <v>492.83954999999997</v>
      </c>
      <c r="AS12" s="74"/>
      <c r="AT12" s="76"/>
      <c r="AU12" s="76"/>
    </row>
    <row r="13" spans="1:47" ht="17.25" customHeight="1" x14ac:dyDescent="0.6">
      <c r="A13" s="77"/>
      <c r="B13" s="128" t="s">
        <v>82</v>
      </c>
      <c r="C13" s="9">
        <v>43</v>
      </c>
      <c r="D13" s="124">
        <v>1.05</v>
      </c>
      <c r="E13" s="107">
        <f t="shared" si="20"/>
        <v>45.15</v>
      </c>
      <c r="F13" s="108">
        <f t="shared" si="21"/>
        <v>485.36250000000001</v>
      </c>
      <c r="G13" s="108">
        <f t="shared" si="22"/>
        <v>349.91249999999997</v>
      </c>
      <c r="H13" s="108">
        <f t="shared" si="23"/>
        <v>169.3125</v>
      </c>
      <c r="I13" s="108">
        <f t="shared" si="24"/>
        <v>180.6</v>
      </c>
      <c r="J13" s="120">
        <f t="shared" si="25"/>
        <v>135.44999999999999</v>
      </c>
      <c r="K13" s="110">
        <v>216</v>
      </c>
      <c r="L13" s="111"/>
      <c r="M13" s="110">
        <v>120</v>
      </c>
      <c r="N13" s="111">
        <v>120</v>
      </c>
      <c r="O13" s="130"/>
      <c r="P13" s="131"/>
      <c r="Q13" s="121">
        <f t="shared" si="26"/>
        <v>46.6875</v>
      </c>
      <c r="R13" s="113">
        <v>638</v>
      </c>
      <c r="S13" s="91">
        <f t="shared" si="27"/>
        <v>349.91249999999997</v>
      </c>
      <c r="T13" s="113">
        <f t="shared" si="28"/>
        <v>336</v>
      </c>
      <c r="U13" s="92">
        <f t="shared" si="29"/>
        <v>3.2779623477297899</v>
      </c>
      <c r="V13" s="155"/>
      <c r="W13" s="115">
        <f t="shared" si="30"/>
        <v>11.164728682170544</v>
      </c>
      <c r="X13" s="95" t="str">
        <f t="shared" si="31"/>
        <v>ปกติ</v>
      </c>
      <c r="Y13" s="115">
        <f t="shared" si="32"/>
        <v>12.730343300110745</v>
      </c>
      <c r="Z13" s="95" t="str">
        <f t="shared" si="33"/>
        <v>ปกติ</v>
      </c>
      <c r="AA13" s="116">
        <f t="shared" si="34"/>
        <v>8.7303433001107429</v>
      </c>
      <c r="AB13" s="95" t="str">
        <f t="shared" si="35"/>
        <v>ต้องเร่งเติม</v>
      </c>
      <c r="AC13" s="125"/>
      <c r="AD13" s="156" t="s">
        <v>83</v>
      </c>
      <c r="AE13" s="118">
        <f t="shared" si="36"/>
        <v>-13.912500000000023</v>
      </c>
      <c r="AF13" s="117" t="s">
        <v>54</v>
      </c>
      <c r="AG13" s="156" t="s">
        <v>84</v>
      </c>
      <c r="AH13" s="119">
        <f t="shared" si="37"/>
        <v>-149.36250000000001</v>
      </c>
      <c r="AI13" s="119"/>
      <c r="AJ13" s="154"/>
      <c r="AK13" s="8" t="s">
        <v>85</v>
      </c>
      <c r="AL13" s="101">
        <v>388</v>
      </c>
      <c r="AM13" s="102"/>
      <c r="AN13" s="102"/>
      <c r="AO13" s="102"/>
      <c r="AP13" s="103">
        <v>1</v>
      </c>
      <c r="AQ13" s="74">
        <f t="shared" si="38"/>
        <v>485.36250000000001</v>
      </c>
      <c r="AR13" s="74">
        <f t="shared" si="39"/>
        <v>349.91249999999997</v>
      </c>
      <c r="AS13" s="74"/>
      <c r="AT13" s="76"/>
      <c r="AU13" s="76"/>
    </row>
    <row r="14" spans="1:47" ht="17.25" customHeight="1" x14ac:dyDescent="0.6">
      <c r="A14" s="77"/>
      <c r="B14" s="128" t="s">
        <v>86</v>
      </c>
      <c r="C14" s="9">
        <v>59</v>
      </c>
      <c r="D14" s="124">
        <v>1.05</v>
      </c>
      <c r="E14" s="107">
        <f t="shared" si="20"/>
        <v>61.95</v>
      </c>
      <c r="F14" s="108">
        <f t="shared" si="21"/>
        <v>665.96249999999998</v>
      </c>
      <c r="G14" s="108">
        <f t="shared" si="22"/>
        <v>480.11250000000001</v>
      </c>
      <c r="H14" s="108">
        <f t="shared" si="23"/>
        <v>232.3125</v>
      </c>
      <c r="I14" s="108">
        <f t="shared" si="24"/>
        <v>247.8</v>
      </c>
      <c r="J14" s="120">
        <f t="shared" si="25"/>
        <v>185.85000000000002</v>
      </c>
      <c r="K14" s="110">
        <v>220</v>
      </c>
      <c r="L14" s="111"/>
      <c r="M14" s="110">
        <v>200</v>
      </c>
      <c r="N14" s="111">
        <v>120</v>
      </c>
      <c r="O14" s="130"/>
      <c r="P14" s="131"/>
      <c r="Q14" s="121">
        <f t="shared" si="26"/>
        <v>-12.3125</v>
      </c>
      <c r="R14" s="113">
        <v>863</v>
      </c>
      <c r="S14" s="91">
        <f t="shared" si="27"/>
        <v>480.11250000000001</v>
      </c>
      <c r="T14" s="113">
        <f t="shared" si="28"/>
        <v>420</v>
      </c>
      <c r="U14" s="92">
        <f t="shared" si="29"/>
        <v>12.590799031476998</v>
      </c>
      <c r="V14" s="114"/>
      <c r="W14" s="115">
        <f t="shared" si="30"/>
        <v>9.7318401937046008</v>
      </c>
      <c r="X14" s="95" t="str">
        <f t="shared" si="31"/>
        <v>ปกติ</v>
      </c>
      <c r="Y14" s="115">
        <f t="shared" si="32"/>
        <v>11.147296206618241</v>
      </c>
      <c r="Z14" s="95" t="str">
        <f t="shared" si="33"/>
        <v>ปกติ</v>
      </c>
      <c r="AA14" s="116">
        <f t="shared" si="34"/>
        <v>7.1472962066182397</v>
      </c>
      <c r="AB14" s="95" t="str">
        <f t="shared" si="35"/>
        <v>ต้องเร่งเติม</v>
      </c>
      <c r="AC14" s="125"/>
      <c r="AD14" s="98" t="s">
        <v>87</v>
      </c>
      <c r="AE14" s="118">
        <f t="shared" si="36"/>
        <v>-60.112500000000011</v>
      </c>
      <c r="AF14" s="117" t="s">
        <v>54</v>
      </c>
      <c r="AG14" s="98" t="s">
        <v>88</v>
      </c>
      <c r="AH14" s="119">
        <f t="shared" si="37"/>
        <v>-245.96250000000009</v>
      </c>
      <c r="AI14" s="119"/>
      <c r="AJ14" s="114"/>
      <c r="AK14" s="8" t="s">
        <v>89</v>
      </c>
      <c r="AL14" s="101">
        <v>1100</v>
      </c>
      <c r="AM14" s="102"/>
      <c r="AN14" s="102"/>
      <c r="AO14" s="102"/>
      <c r="AP14" s="157">
        <v>1</v>
      </c>
      <c r="AQ14" s="74">
        <f t="shared" si="38"/>
        <v>665.96249999999998</v>
      </c>
      <c r="AR14" s="74">
        <f t="shared" si="39"/>
        <v>480.11250000000001</v>
      </c>
      <c r="AS14" s="74"/>
      <c r="AT14" s="76"/>
      <c r="AU14" s="76"/>
    </row>
    <row r="15" spans="1:47" ht="17.25" customHeight="1" x14ac:dyDescent="0.6">
      <c r="A15" s="77"/>
      <c r="B15" s="128" t="s">
        <v>90</v>
      </c>
      <c r="C15" s="9">
        <v>54</v>
      </c>
      <c r="D15" s="124">
        <v>0.95</v>
      </c>
      <c r="E15" s="107">
        <f t="shared" si="20"/>
        <v>51.3</v>
      </c>
      <c r="F15" s="108">
        <f t="shared" si="21"/>
        <v>551.47500000000002</v>
      </c>
      <c r="G15" s="108">
        <f t="shared" si="22"/>
        <v>397.57499999999999</v>
      </c>
      <c r="H15" s="108">
        <f t="shared" si="23"/>
        <v>192.375</v>
      </c>
      <c r="I15" s="108">
        <f t="shared" si="24"/>
        <v>205.2</v>
      </c>
      <c r="J15" s="120">
        <f t="shared" si="25"/>
        <v>153.89999999999998</v>
      </c>
      <c r="K15" s="110">
        <v>160</v>
      </c>
      <c r="L15" s="111"/>
      <c r="M15" s="110">
        <v>148</v>
      </c>
      <c r="N15" s="111">
        <v>134</v>
      </c>
      <c r="O15" s="130"/>
      <c r="P15" s="131"/>
      <c r="Q15" s="121">
        <f t="shared" si="26"/>
        <v>-32.375</v>
      </c>
      <c r="R15" s="113">
        <v>635</v>
      </c>
      <c r="S15" s="91">
        <f t="shared" si="27"/>
        <v>198.78749999999999</v>
      </c>
      <c r="T15" s="113">
        <f t="shared" si="28"/>
        <v>308</v>
      </c>
      <c r="U15" s="92">
        <f t="shared" si="29"/>
        <v>3.3528265107212478</v>
      </c>
      <c r="V15" s="114"/>
      <c r="W15" s="115">
        <f t="shared" si="30"/>
        <v>11.622076023391813</v>
      </c>
      <c r="X15" s="95" t="str">
        <f t="shared" si="31"/>
        <v>ปกติ</v>
      </c>
      <c r="Y15" s="115">
        <f t="shared" si="32"/>
        <v>13.369152046783626</v>
      </c>
      <c r="Z15" s="95" t="str">
        <f t="shared" si="33"/>
        <v>ปกติ</v>
      </c>
      <c r="AA15" s="116">
        <f t="shared" si="34"/>
        <v>9.3691520467836256</v>
      </c>
      <c r="AB15" s="95" t="str">
        <f t="shared" si="35"/>
        <v>ต้องเร่งเติม</v>
      </c>
      <c r="AC15" s="125"/>
      <c r="AD15" s="98" t="s">
        <v>91</v>
      </c>
      <c r="AE15" s="118">
        <f t="shared" si="36"/>
        <v>-89.574999999999989</v>
      </c>
      <c r="AF15" s="158"/>
      <c r="AG15" s="156" t="s">
        <v>92</v>
      </c>
      <c r="AH15" s="119">
        <f t="shared" si="37"/>
        <v>-243.47499999999991</v>
      </c>
      <c r="AI15" s="119"/>
      <c r="AJ15" s="154"/>
      <c r="AK15" s="8" t="s">
        <v>93</v>
      </c>
      <c r="AL15" s="101">
        <v>454</v>
      </c>
      <c r="AM15" s="102"/>
      <c r="AN15" s="102"/>
      <c r="AO15" s="102"/>
      <c r="AP15" s="157">
        <v>0.5</v>
      </c>
      <c r="AQ15" s="74">
        <f t="shared" si="38"/>
        <v>275.73750000000001</v>
      </c>
      <c r="AR15" s="74">
        <f t="shared" si="39"/>
        <v>198.78749999999999</v>
      </c>
      <c r="AS15" s="74"/>
      <c r="AT15" s="76" t="s">
        <v>94</v>
      </c>
      <c r="AU15" s="76"/>
    </row>
    <row r="16" spans="1:47" ht="17.25" customHeight="1" x14ac:dyDescent="0.6">
      <c r="A16" s="77"/>
      <c r="B16" s="128" t="s">
        <v>95</v>
      </c>
      <c r="C16" s="9">
        <v>45</v>
      </c>
      <c r="D16" s="106">
        <v>0.88</v>
      </c>
      <c r="E16" s="107">
        <f t="shared" si="20"/>
        <v>39.6</v>
      </c>
      <c r="F16" s="108">
        <f t="shared" si="21"/>
        <v>425.7</v>
      </c>
      <c r="G16" s="108">
        <f t="shared" si="22"/>
        <v>306.90000000000003</v>
      </c>
      <c r="H16" s="108">
        <f t="shared" si="23"/>
        <v>148.5</v>
      </c>
      <c r="I16" s="108">
        <f t="shared" si="24"/>
        <v>158.4</v>
      </c>
      <c r="J16" s="120">
        <f t="shared" si="25"/>
        <v>118.80000000000001</v>
      </c>
      <c r="K16" s="110">
        <v>160</v>
      </c>
      <c r="L16" s="111">
        <v>160</v>
      </c>
      <c r="M16" s="110">
        <v>80</v>
      </c>
      <c r="N16" s="111">
        <v>80</v>
      </c>
      <c r="O16" s="130"/>
      <c r="P16" s="131"/>
      <c r="Q16" s="121">
        <f t="shared" si="26"/>
        <v>11.5</v>
      </c>
      <c r="R16" s="113">
        <v>293</v>
      </c>
      <c r="S16" s="91">
        <f>AQ16</f>
        <v>191.565</v>
      </c>
      <c r="T16" s="113">
        <f t="shared" si="28"/>
        <v>240</v>
      </c>
      <c r="U16" s="92">
        <f t="shared" si="29"/>
        <v>1.0606060606060606</v>
      </c>
      <c r="V16" s="155"/>
      <c r="W16" s="115">
        <f t="shared" si="30"/>
        <v>10.642297979797979</v>
      </c>
      <c r="X16" s="95" t="str">
        <f t="shared" si="31"/>
        <v>ปกติ</v>
      </c>
      <c r="Y16" s="115">
        <f t="shared" si="32"/>
        <v>10.93270202020202</v>
      </c>
      <c r="Z16" s="95" t="str">
        <f t="shared" si="33"/>
        <v>ปกติ</v>
      </c>
      <c r="AA16" s="116">
        <f t="shared" si="34"/>
        <v>6.9327020202020195</v>
      </c>
      <c r="AB16" s="95" t="str">
        <f t="shared" si="35"/>
        <v>ต้องเร่งเติม</v>
      </c>
      <c r="AC16" s="125"/>
      <c r="AD16" s="98" t="s">
        <v>96</v>
      </c>
      <c r="AE16" s="118">
        <f t="shared" si="36"/>
        <v>-66.899999999999977</v>
      </c>
      <c r="AF16" s="117"/>
      <c r="AG16" s="98" t="s">
        <v>97</v>
      </c>
      <c r="AH16" s="119">
        <f t="shared" si="37"/>
        <v>-185.7</v>
      </c>
      <c r="AI16" s="119"/>
      <c r="AJ16" s="154"/>
      <c r="AK16" s="8" t="s">
        <v>98</v>
      </c>
      <c r="AL16" s="101">
        <v>202</v>
      </c>
      <c r="AM16" s="102"/>
      <c r="AN16" s="102"/>
      <c r="AO16" s="102"/>
      <c r="AP16" s="157">
        <v>0.45</v>
      </c>
      <c r="AQ16" s="74">
        <f t="shared" si="38"/>
        <v>191.565</v>
      </c>
      <c r="AR16" s="74">
        <f t="shared" si="39"/>
        <v>138.10499999999999</v>
      </c>
      <c r="AS16" s="74"/>
      <c r="AT16" s="76" t="s">
        <v>94</v>
      </c>
      <c r="AU16" s="76"/>
    </row>
    <row r="17" spans="1:47" ht="17.25" customHeight="1" x14ac:dyDescent="0.6">
      <c r="A17" s="159"/>
      <c r="B17" s="128" t="s">
        <v>99</v>
      </c>
      <c r="C17" s="9">
        <v>70</v>
      </c>
      <c r="D17" s="124">
        <v>1.05</v>
      </c>
      <c r="E17" s="107">
        <f t="shared" si="20"/>
        <v>73.5</v>
      </c>
      <c r="F17" s="108">
        <f t="shared" si="21"/>
        <v>790.125</v>
      </c>
      <c r="G17" s="108">
        <f t="shared" si="22"/>
        <v>569.625</v>
      </c>
      <c r="H17" s="108">
        <f t="shared" si="23"/>
        <v>275.625</v>
      </c>
      <c r="I17" s="108">
        <f t="shared" si="24"/>
        <v>294</v>
      </c>
      <c r="J17" s="120">
        <f t="shared" si="25"/>
        <v>220.5</v>
      </c>
      <c r="K17" s="110">
        <v>280</v>
      </c>
      <c r="L17" s="111"/>
      <c r="M17" s="110">
        <v>280</v>
      </c>
      <c r="N17" s="111">
        <v>156</v>
      </c>
      <c r="O17" s="130"/>
      <c r="P17" s="131"/>
      <c r="Q17" s="121">
        <f t="shared" si="26"/>
        <v>4.375</v>
      </c>
      <c r="R17" s="113">
        <v>1065</v>
      </c>
      <c r="S17" s="91">
        <f>AR17</f>
        <v>569.625</v>
      </c>
      <c r="T17" s="113">
        <f t="shared" si="28"/>
        <v>560</v>
      </c>
      <c r="U17" s="92">
        <f t="shared" si="29"/>
        <v>3.2653061224489797</v>
      </c>
      <c r="V17" s="114"/>
      <c r="W17" s="115">
        <f t="shared" si="30"/>
        <v>10.549319727891156</v>
      </c>
      <c r="X17" s="95" t="str">
        <f t="shared" si="31"/>
        <v>ปกติ</v>
      </c>
      <c r="Y17" s="115">
        <f t="shared" si="32"/>
        <v>12.731292517006803</v>
      </c>
      <c r="Z17" s="95" t="str">
        <f t="shared" si="33"/>
        <v>ปกติ</v>
      </c>
      <c r="AA17" s="116">
        <f t="shared" si="34"/>
        <v>8.7312925170068034</v>
      </c>
      <c r="AB17" s="95" t="str">
        <f t="shared" si="35"/>
        <v>ต้องเร่งเติม</v>
      </c>
      <c r="AC17" s="117"/>
      <c r="AD17" s="98" t="s">
        <v>100</v>
      </c>
      <c r="AE17" s="118">
        <f t="shared" si="36"/>
        <v>-9.625</v>
      </c>
      <c r="AF17" s="117"/>
      <c r="AG17" s="98" t="s">
        <v>101</v>
      </c>
      <c r="AH17" s="119">
        <f t="shared" si="37"/>
        <v>-230.125</v>
      </c>
      <c r="AI17" s="119"/>
      <c r="AJ17" s="154"/>
      <c r="AK17" s="8" t="s">
        <v>102</v>
      </c>
      <c r="AL17" s="101">
        <v>676</v>
      </c>
      <c r="AM17" s="102"/>
      <c r="AN17" s="160"/>
      <c r="AO17" s="160"/>
      <c r="AP17" s="161">
        <v>1</v>
      </c>
      <c r="AQ17" s="74">
        <f t="shared" si="38"/>
        <v>790.125</v>
      </c>
      <c r="AR17" s="74">
        <f t="shared" si="39"/>
        <v>569.625</v>
      </c>
      <c r="AS17" s="74"/>
      <c r="AT17" s="76"/>
      <c r="AU17" s="76"/>
    </row>
    <row r="18" spans="1:47" ht="18" x14ac:dyDescent="0.45">
      <c r="A18" s="132"/>
      <c r="B18" s="133"/>
      <c r="C18" s="134"/>
      <c r="D18" s="134"/>
      <c r="E18" s="134"/>
      <c r="F18" s="135"/>
      <c r="G18" s="135"/>
      <c r="H18" s="135"/>
      <c r="I18" s="135"/>
      <c r="J18" s="136"/>
      <c r="K18" s="162"/>
      <c r="L18" s="163"/>
      <c r="M18" s="139"/>
      <c r="N18" s="140"/>
      <c r="O18" s="139"/>
      <c r="P18" s="140"/>
      <c r="Q18" s="143"/>
      <c r="R18" s="135"/>
      <c r="S18" s="144"/>
      <c r="T18" s="133"/>
      <c r="U18" s="134"/>
      <c r="V18" s="145"/>
      <c r="W18" s="164"/>
      <c r="X18" s="164"/>
      <c r="Y18" s="164"/>
      <c r="Z18" s="164">
        <f>13/13</f>
        <v>1</v>
      </c>
      <c r="AA18" s="164"/>
      <c r="AB18" s="164"/>
      <c r="AC18" s="165">
        <v>0</v>
      </c>
      <c r="AD18" s="146"/>
      <c r="AE18" s="133"/>
      <c r="AF18" s="146"/>
      <c r="AG18" s="146"/>
      <c r="AH18" s="147"/>
      <c r="AI18" s="147"/>
      <c r="AJ18" s="147"/>
      <c r="AK18" s="166"/>
      <c r="AL18" s="147"/>
      <c r="AM18" s="152"/>
      <c r="AN18" s="167"/>
      <c r="AO18" s="167"/>
      <c r="AP18" s="152"/>
      <c r="AQ18" s="152"/>
      <c r="AR18" s="152"/>
      <c r="AS18" s="152"/>
      <c r="AT18" s="153"/>
      <c r="AU18" s="153"/>
    </row>
    <row r="19" spans="1:47" ht="74.25" customHeight="1" x14ac:dyDescent="0.6">
      <c r="A19" s="168"/>
      <c r="B19" s="169" t="str">
        <f t="shared" ref="B19:K19" si="40">B2</f>
        <v>ไลน์เย็บ</v>
      </c>
      <c r="C19" s="170" t="str">
        <f t="shared" si="40"/>
        <v xml:space="preserve">เป้า:ชม
 แผน
OTP 100 
</v>
      </c>
      <c r="D19" s="170" t="str">
        <f t="shared" si="40"/>
        <v>OTP เย็บ
สีแดง= 
ให้มากกว่าเย็บได้วันก่อน</v>
      </c>
      <c r="E19" s="171" t="str">
        <f t="shared" si="40"/>
        <v>เป้า : ชม</v>
      </c>
      <c r="F19" s="172" t="str">
        <f t="shared" si="40"/>
        <v>เป้าวันot</v>
      </c>
      <c r="G19" s="172" t="str">
        <f t="shared" si="40"/>
        <v>เป้าไม่มี OT</v>
      </c>
      <c r="H19" s="172" t="str">
        <f t="shared" si="40"/>
        <v xml:space="preserve">เป้าเช้า </v>
      </c>
      <c r="I19" s="172" t="str">
        <f t="shared" si="40"/>
        <v>เป้าบ่าย</v>
      </c>
      <c r="J19" s="172" t="str">
        <f t="shared" si="40"/>
        <v>เป้า ot</v>
      </c>
      <c r="K19" s="29" t="str">
        <f t="shared" si="40"/>
        <v xml:space="preserve">เช้า </v>
      </c>
      <c r="L19" s="30"/>
      <c r="M19" s="173" t="str">
        <f>M2</f>
        <v xml:space="preserve">บ่าย </v>
      </c>
      <c r="N19" s="30"/>
      <c r="O19" s="173" t="str">
        <f>O2</f>
        <v xml:space="preserve">OT </v>
      </c>
      <c r="P19" s="30"/>
      <c r="Q19" s="174" t="str">
        <f>Q2</f>
        <v>ขาดเป้าเช้า</v>
      </c>
      <c r="R19" s="175" t="s">
        <v>21</v>
      </c>
      <c r="S19" s="176" t="s">
        <v>22</v>
      </c>
      <c r="T19" s="177" t="s">
        <v>23</v>
      </c>
      <c r="U19" s="178" t="s">
        <v>103</v>
      </c>
      <c r="V19" s="42" t="str">
        <f>V2</f>
        <v>รอตัด</v>
      </c>
      <c r="W19" s="175" t="s">
        <v>104</v>
      </c>
      <c r="X19" s="179" t="s">
        <v>43</v>
      </c>
      <c r="Y19" s="175" t="s">
        <v>105</v>
      </c>
      <c r="Z19" s="179" t="s">
        <v>43</v>
      </c>
      <c r="AA19" s="175" t="s">
        <v>106</v>
      </c>
      <c r="AB19" s="179" t="s">
        <v>43</v>
      </c>
      <c r="AC19" s="180" t="str">
        <f t="shared" ref="AC19:AH19" si="41">AC2</f>
        <v>สาเหตุที่ไม่ได้เป้าเช้า</v>
      </c>
      <c r="AD19" s="181" t="str">
        <f t="shared" si="41"/>
        <v>รายละเอียด</v>
      </c>
      <c r="AE19" s="182" t="str">
        <f t="shared" si="41"/>
        <v>ขาดเป้าบ่าย</v>
      </c>
      <c r="AF19" s="41" t="str">
        <f t="shared" si="41"/>
        <v>สาเหตุที่ไม่ได้เป้าบ่าย</v>
      </c>
      <c r="AG19" s="43" t="str">
        <f t="shared" si="41"/>
        <v>รายละเอียด</v>
      </c>
      <c r="AH19" s="44" t="str">
        <f t="shared" si="41"/>
        <v>ขาดเป้าot (ครบวัน)</v>
      </c>
      <c r="AI19" s="183"/>
      <c r="AJ19" s="183" t="s">
        <v>3</v>
      </c>
      <c r="AK19" s="184" t="str">
        <f t="shared" ref="AK19:AL19" si="42">AK2</f>
        <v>ข้อมูลสาเหตุห้ามลบ</v>
      </c>
      <c r="AL19" s="185" t="str">
        <f t="shared" si="42"/>
        <v>ตัดรอจัดงาน</v>
      </c>
      <c r="AM19" s="48" t="s">
        <v>38</v>
      </c>
      <c r="AN19" s="186"/>
      <c r="AO19" s="186" t="s">
        <v>39</v>
      </c>
      <c r="AP19" s="51" t="str">
        <f t="shared" ref="AP19:AS19" si="43">AP2</f>
        <v>OTP เย็บ 
2708</v>
      </c>
      <c r="AQ19" s="51" t="str">
        <f t="shared" si="43"/>
        <v>ot</v>
      </c>
      <c r="AR19" s="51" t="str">
        <f t="shared" si="43"/>
        <v>ไม่มี ot</v>
      </c>
      <c r="AS19" s="187">
        <f t="shared" si="43"/>
        <v>0</v>
      </c>
      <c r="AT19" s="53"/>
      <c r="AU19" s="53"/>
    </row>
    <row r="20" spans="1:47" ht="19.5" customHeight="1" x14ac:dyDescent="0.6">
      <c r="A20" s="188" t="s">
        <v>107</v>
      </c>
      <c r="B20" s="189" t="s">
        <v>108</v>
      </c>
      <c r="C20" s="9">
        <v>40</v>
      </c>
      <c r="D20" s="190">
        <v>0.88</v>
      </c>
      <c r="E20" s="107">
        <f t="shared" ref="E20:E21" si="44">C20*D20</f>
        <v>35.200000000000003</v>
      </c>
      <c r="F20" s="108">
        <f t="shared" ref="F20:F21" si="45">E20*10.75</f>
        <v>378.40000000000003</v>
      </c>
      <c r="G20" s="108">
        <f t="shared" ref="G20:G21" si="46">E20*7.75</f>
        <v>272.8</v>
      </c>
      <c r="H20" s="108">
        <f t="shared" ref="H20:H21" si="47">E20*3.75</f>
        <v>132</v>
      </c>
      <c r="I20" s="108">
        <f t="shared" ref="I20:I21" si="48">E20*4</f>
        <v>140.80000000000001</v>
      </c>
      <c r="J20" s="120">
        <f t="shared" ref="J20:J21" si="49">E20*3</f>
        <v>105.60000000000001</v>
      </c>
      <c r="K20" s="109">
        <v>200</v>
      </c>
      <c r="L20" s="111">
        <v>93</v>
      </c>
      <c r="M20" s="191">
        <v>16</v>
      </c>
      <c r="N20" s="111">
        <v>60</v>
      </c>
      <c r="O20" s="130"/>
      <c r="P20" s="131"/>
      <c r="Q20" s="121">
        <f t="shared" ref="Q20:Q21" si="50">K20-H20</f>
        <v>68</v>
      </c>
      <c r="R20" s="192">
        <v>460</v>
      </c>
      <c r="S20" s="91">
        <f>AR20</f>
        <v>122.76000000000002</v>
      </c>
      <c r="T20" s="113">
        <f t="shared" ref="T20:T21" si="51">K20+M20+O20</f>
        <v>216</v>
      </c>
      <c r="U20" s="92">
        <f t="shared" ref="U20:U21" si="52">(AL20+AM20-M20-N20-O20-P20)/E20</f>
        <v>6.4488636363636358</v>
      </c>
      <c r="V20" s="122"/>
      <c r="W20" s="115">
        <f t="shared" ref="W20:W21" si="53">(R20-S20+K20+L20+AO20)/E20</f>
        <v>17.904545454545453</v>
      </c>
      <c r="X20" s="95" t="str">
        <f t="shared" ref="X20:X21" si="54">IF(W20="","",IF(ROUND(W20,0)&lt;16,"ต้องเร่งเติม",IF(ROUND(W20,0)&lt;=32,"ปกติ","ไม่ต้องทำเพิ่ม")))</f>
        <v>ปกติ</v>
      </c>
      <c r="Y20" s="115">
        <f t="shared" ref="Y20:Y21" si="55">(R20-S20-H20+K20+L20+M20+N20+AO20)/E20</f>
        <v>16.313636363636363</v>
      </c>
      <c r="Z20" s="95" t="str">
        <f t="shared" ref="Z20:Z21" si="56">IF(Y20="","",IF(ROUND(Y20,0)&lt;16,"ต้องเร่งเติม",IF(ROUND(Y20,0)&lt;=32,"ปกติ","ไม่ต้องทำเพิ่ม")))</f>
        <v>ปกติ</v>
      </c>
      <c r="AA20" s="116">
        <f t="shared" ref="AA20:AA21" si="57">(R20-S20-H20-I20+K20+L20+M20+N20+O20+P20+AO20)/E20</f>
        <v>12.313636363636363</v>
      </c>
      <c r="AB20" s="95" t="str">
        <f t="shared" ref="AB20:AB21" si="58">IF(AA20="","",IF(ROUND(AA20,0)&lt;16,"ต้องเร่งเติม",IF(ROUND(AA20,0)&lt;=32,"ปกติ","ไม่ต้องทำเพิ่ม")))</f>
        <v>ต้องเร่งเติม</v>
      </c>
      <c r="AC20" s="119"/>
      <c r="AD20" s="98" t="s">
        <v>109</v>
      </c>
      <c r="AE20" s="118">
        <f t="shared" ref="AE20:AE21" si="59">(K20+M20)-(H20+I20)</f>
        <v>-56.800000000000011</v>
      </c>
      <c r="AF20" s="119"/>
      <c r="AG20" s="98" t="s">
        <v>110</v>
      </c>
      <c r="AH20" s="119">
        <f t="shared" ref="AH20:AH21" si="60">(K20+M20+O20)-(H20+I20+J20)</f>
        <v>-162.40000000000003</v>
      </c>
      <c r="AI20" s="119"/>
      <c r="AJ20" s="154"/>
      <c r="AK20" s="8" t="s">
        <v>52</v>
      </c>
      <c r="AL20" s="193">
        <v>95</v>
      </c>
      <c r="AM20" s="72">
        <v>208</v>
      </c>
      <c r="AN20" s="194"/>
      <c r="AO20" s="194"/>
      <c r="AP20" s="157">
        <v>0.45</v>
      </c>
      <c r="AQ20" s="74">
        <f t="shared" ref="AQ20:AQ21" si="61">(C20*AP20)*10.75</f>
        <v>193.5</v>
      </c>
      <c r="AR20" s="74">
        <f t="shared" ref="AR20:AR21" si="62">(E20*AP20)*7.75</f>
        <v>122.76000000000002</v>
      </c>
      <c r="AS20" s="74">
        <f t="shared" ref="AS20:AS21" si="63">(E20*AP20)* 6</f>
        <v>95.04</v>
      </c>
      <c r="AT20" s="76" t="s">
        <v>111</v>
      </c>
      <c r="AU20" s="76"/>
    </row>
    <row r="21" spans="1:47" ht="19.5" customHeight="1" x14ac:dyDescent="0.25">
      <c r="A21" s="195"/>
      <c r="B21" s="189" t="s">
        <v>112</v>
      </c>
      <c r="C21" s="9">
        <v>51</v>
      </c>
      <c r="D21" s="190">
        <v>0.94</v>
      </c>
      <c r="E21" s="107">
        <f t="shared" si="44"/>
        <v>47.94</v>
      </c>
      <c r="F21" s="108">
        <f t="shared" si="45"/>
        <v>515.35500000000002</v>
      </c>
      <c r="G21" s="108">
        <f t="shared" si="46"/>
        <v>371.53499999999997</v>
      </c>
      <c r="H21" s="108">
        <f t="shared" si="47"/>
        <v>179.77499999999998</v>
      </c>
      <c r="I21" s="108">
        <f t="shared" si="48"/>
        <v>191.76</v>
      </c>
      <c r="J21" s="120">
        <f t="shared" si="49"/>
        <v>143.82</v>
      </c>
      <c r="K21" s="109">
        <v>200</v>
      </c>
      <c r="L21" s="85"/>
      <c r="M21" s="110">
        <v>200</v>
      </c>
      <c r="N21" s="111">
        <v>200</v>
      </c>
      <c r="O21" s="110"/>
      <c r="P21" s="111"/>
      <c r="Q21" s="121">
        <f t="shared" si="50"/>
        <v>20.225000000000023</v>
      </c>
      <c r="R21" s="196">
        <v>1050</v>
      </c>
      <c r="S21" s="91">
        <f>AQ21</f>
        <v>487.9425</v>
      </c>
      <c r="T21" s="113">
        <f t="shared" si="51"/>
        <v>400</v>
      </c>
      <c r="U21" s="92">
        <f t="shared" si="52"/>
        <v>-4.1718815185648728</v>
      </c>
      <c r="V21" s="129"/>
      <c r="W21" s="115">
        <f t="shared" si="53"/>
        <v>15.896068001668754</v>
      </c>
      <c r="X21" s="95" t="str">
        <f t="shared" si="54"/>
        <v>ปกติ</v>
      </c>
      <c r="Y21" s="115">
        <f t="shared" si="55"/>
        <v>20.489831038798499</v>
      </c>
      <c r="Z21" s="95" t="str">
        <f t="shared" si="56"/>
        <v>ปกติ</v>
      </c>
      <c r="AA21" s="116">
        <f t="shared" si="57"/>
        <v>16.489831038798499</v>
      </c>
      <c r="AB21" s="95" t="str">
        <f t="shared" si="58"/>
        <v>ปกติ</v>
      </c>
      <c r="AC21" s="119"/>
      <c r="AD21" s="114" t="s">
        <v>113</v>
      </c>
      <c r="AE21" s="118">
        <f t="shared" si="59"/>
        <v>28.465000000000032</v>
      </c>
      <c r="AF21" s="197" t="s">
        <v>98</v>
      </c>
      <c r="AG21" s="114" t="s">
        <v>114</v>
      </c>
      <c r="AH21" s="119">
        <f t="shared" si="60"/>
        <v>-115.35500000000002</v>
      </c>
      <c r="AI21" s="119"/>
      <c r="AJ21" s="154"/>
      <c r="AK21" s="8" t="s">
        <v>115</v>
      </c>
      <c r="AL21" s="193">
        <v>200</v>
      </c>
      <c r="AM21" s="72"/>
      <c r="AN21" s="194"/>
      <c r="AO21" s="194"/>
      <c r="AP21" s="157">
        <v>0.89</v>
      </c>
      <c r="AQ21" s="74">
        <f t="shared" si="61"/>
        <v>487.9425</v>
      </c>
      <c r="AR21" s="74">
        <f t="shared" si="62"/>
        <v>330.66614999999996</v>
      </c>
      <c r="AS21" s="74">
        <f t="shared" si="63"/>
        <v>255.99959999999999</v>
      </c>
      <c r="AT21" s="76"/>
      <c r="AU21" s="76"/>
    </row>
    <row r="22" spans="1:47" ht="21.6" x14ac:dyDescent="0.25">
      <c r="A22" s="198"/>
      <c r="B22" s="199"/>
      <c r="C22" s="200"/>
      <c r="D22" s="200"/>
      <c r="E22" s="201"/>
      <c r="F22" s="200"/>
      <c r="G22" s="200"/>
      <c r="H22" s="200"/>
      <c r="I22" s="200"/>
      <c r="J22" s="200"/>
      <c r="K22" s="200"/>
      <c r="L22" s="200"/>
      <c r="M22" s="200"/>
      <c r="N22" s="200"/>
      <c r="O22" s="200"/>
      <c r="P22" s="200"/>
      <c r="Q22" s="200"/>
      <c r="R22" s="200"/>
      <c r="S22" s="200"/>
      <c r="T22" s="200"/>
      <c r="U22" s="202"/>
      <c r="V22" s="203"/>
      <c r="W22" s="204"/>
      <c r="X22" s="205"/>
      <c r="Y22" s="164"/>
      <c r="Z22" s="164">
        <f>2/2</f>
        <v>1</v>
      </c>
      <c r="AA22" s="164"/>
      <c r="AB22" s="205"/>
      <c r="AC22" s="203"/>
      <c r="AD22" s="203"/>
      <c r="AE22" s="203"/>
      <c r="AF22" s="203"/>
      <c r="AG22" s="203"/>
      <c r="AH22" s="203"/>
      <c r="AI22" s="203"/>
      <c r="AJ22" s="203"/>
      <c r="AK22" s="198"/>
      <c r="AL22" s="206"/>
      <c r="AM22" s="207"/>
      <c r="AN22" s="207"/>
      <c r="AO22" s="207"/>
      <c r="AP22" s="208"/>
      <c r="AQ22" s="208"/>
      <c r="AR22" s="208"/>
      <c r="AS22" s="208"/>
      <c r="AT22" s="208"/>
      <c r="AU22" s="76"/>
    </row>
    <row r="23" spans="1:47" ht="21.6" x14ac:dyDescent="0.25">
      <c r="A23" s="198"/>
      <c r="B23" s="199"/>
      <c r="C23" s="209"/>
      <c r="D23" s="210"/>
      <c r="E23" s="209"/>
      <c r="F23" s="209"/>
      <c r="G23" s="209"/>
      <c r="H23" s="209"/>
      <c r="I23" s="209"/>
      <c r="J23" s="211"/>
      <c r="K23" s="212"/>
      <c r="L23" s="24"/>
      <c r="M23" s="24"/>
      <c r="N23" s="213"/>
      <c r="O23" s="213"/>
      <c r="P23" s="213"/>
      <c r="Q23" s="212"/>
      <c r="R23" s="206"/>
      <c r="S23" s="214"/>
      <c r="T23" s="212"/>
      <c r="U23" s="215"/>
      <c r="V23" s="203"/>
      <c r="W23" s="204"/>
      <c r="X23" s="204"/>
      <c r="Y23" s="204"/>
      <c r="Z23" s="204"/>
      <c r="AA23" s="204"/>
      <c r="AB23" s="204"/>
      <c r="AC23" s="203"/>
      <c r="AD23" s="203"/>
      <c r="AE23" s="203"/>
      <c r="AF23" s="203"/>
      <c r="AG23" s="24"/>
      <c r="AH23" s="24"/>
      <c r="AI23" s="24"/>
      <c r="AJ23" s="24"/>
      <c r="AK23" s="198"/>
      <c r="AL23" s="206"/>
      <c r="AM23" s="207"/>
      <c r="AN23" s="207"/>
      <c r="AO23" s="207"/>
      <c r="AP23" s="208"/>
      <c r="AQ23" s="75"/>
      <c r="AR23" s="75"/>
      <c r="AS23" s="76"/>
      <c r="AT23" s="76"/>
      <c r="AU23" s="76"/>
    </row>
    <row r="24" spans="1:47" ht="21.6" x14ac:dyDescent="0.25">
      <c r="A24" s="216"/>
      <c r="B24" s="216"/>
      <c r="C24" s="212"/>
      <c r="D24" s="212"/>
      <c r="E24" s="211"/>
      <c r="F24" s="211"/>
      <c r="G24" s="211"/>
      <c r="H24" s="211"/>
      <c r="I24" s="211"/>
      <c r="J24" s="211"/>
      <c r="K24" s="212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53"/>
      <c r="X24" s="53"/>
      <c r="Y24" s="53"/>
      <c r="Z24" s="53"/>
      <c r="AA24" s="53"/>
      <c r="AB24" s="53"/>
      <c r="AC24" s="24"/>
      <c r="AD24" s="24"/>
      <c r="AE24" s="203"/>
      <c r="AF24" s="203"/>
      <c r="AG24" s="203"/>
      <c r="AH24" s="24"/>
      <c r="AI24" s="24"/>
      <c r="AJ24" s="24"/>
      <c r="AK24" s="198"/>
      <c r="AL24" s="206"/>
      <c r="AM24" s="207"/>
      <c r="AN24" s="207"/>
      <c r="AO24" s="207"/>
      <c r="AP24" s="208"/>
      <c r="AQ24" s="75"/>
      <c r="AR24" s="75"/>
      <c r="AS24" s="76"/>
      <c r="AT24" s="76"/>
      <c r="AU24" s="76"/>
    </row>
    <row r="25" spans="1:47" ht="21.6" x14ac:dyDescent="0.45">
      <c r="A25" s="217"/>
      <c r="B25" s="217"/>
      <c r="C25" s="212"/>
      <c r="D25" s="212"/>
      <c r="E25" s="211"/>
      <c r="F25" s="211"/>
      <c r="G25" s="211"/>
      <c r="H25" s="211"/>
      <c r="I25" s="211"/>
      <c r="J25" s="211"/>
      <c r="K25" s="212"/>
      <c r="L25" s="24"/>
      <c r="M25" s="24"/>
      <c r="N25" s="213"/>
      <c r="O25" s="213"/>
      <c r="P25" s="213"/>
      <c r="Q25" s="212"/>
      <c r="R25" s="206"/>
      <c r="S25" s="214"/>
      <c r="T25" s="212"/>
      <c r="U25" s="215"/>
      <c r="V25" s="203"/>
      <c r="W25" s="204"/>
      <c r="X25" s="204"/>
      <c r="Y25" s="204"/>
      <c r="Z25" s="204"/>
      <c r="AA25" s="204"/>
      <c r="AB25" s="204"/>
      <c r="AC25" s="203"/>
      <c r="AD25" s="203"/>
      <c r="AE25" s="203"/>
      <c r="AF25" s="203"/>
      <c r="AG25" s="203"/>
      <c r="AH25" s="24"/>
      <c r="AI25" s="24"/>
      <c r="AJ25" s="24"/>
      <c r="AK25" s="198"/>
      <c r="AL25" s="206"/>
      <c r="AM25" s="207"/>
      <c r="AN25" s="207"/>
      <c r="AO25" s="207"/>
      <c r="AP25" s="208"/>
      <c r="AQ25" s="208"/>
      <c r="AR25" s="208"/>
      <c r="AS25" s="76"/>
      <c r="AT25" s="76"/>
      <c r="AU25" s="76"/>
    </row>
    <row r="26" spans="1:47" ht="21.6" x14ac:dyDescent="0.45">
      <c r="A26" s="216"/>
      <c r="B26" s="216"/>
      <c r="C26" s="212"/>
      <c r="D26" s="212"/>
      <c r="E26" s="211"/>
      <c r="F26" s="211"/>
      <c r="G26" s="211"/>
      <c r="H26" s="209"/>
      <c r="I26" s="211"/>
      <c r="J26" s="211"/>
      <c r="K26" s="212"/>
      <c r="L26" s="212"/>
      <c r="M26" s="212"/>
      <c r="N26" s="218"/>
      <c r="O26" s="218"/>
      <c r="P26" s="218"/>
      <c r="Q26" s="214"/>
      <c r="R26" s="206" t="s">
        <v>116</v>
      </c>
      <c r="S26" s="214">
        <v>460</v>
      </c>
      <c r="T26" s="24"/>
      <c r="U26" s="219"/>
      <c r="V26" s="203"/>
      <c r="W26" s="204"/>
      <c r="X26" s="204"/>
      <c r="Y26" s="204"/>
      <c r="Z26" s="204"/>
      <c r="AA26" s="204"/>
      <c r="AB26" s="204"/>
      <c r="AC26" s="203"/>
      <c r="AG26" s="203"/>
      <c r="AH26" s="24"/>
      <c r="AI26" s="220"/>
      <c r="AJ26" s="24"/>
      <c r="AK26" s="221" t="s">
        <v>116</v>
      </c>
      <c r="AL26" s="221">
        <v>95</v>
      </c>
      <c r="AM26" s="207"/>
      <c r="AN26" s="222"/>
      <c r="AO26" s="222"/>
      <c r="AP26" s="223"/>
      <c r="AQ26" s="223"/>
      <c r="AR26" s="223"/>
      <c r="AS26" s="76"/>
      <c r="AT26" s="76"/>
      <c r="AU26" s="76"/>
    </row>
    <row r="27" spans="1:47" ht="21.6" x14ac:dyDescent="0.25">
      <c r="A27" s="224"/>
      <c r="B27" s="224"/>
      <c r="C27" s="212"/>
      <c r="D27" s="212"/>
      <c r="E27" s="211"/>
      <c r="F27" s="211"/>
      <c r="G27" s="211"/>
      <c r="H27" s="211"/>
      <c r="I27" s="211"/>
      <c r="J27" s="211"/>
      <c r="K27" s="212"/>
      <c r="L27" s="24"/>
      <c r="M27" s="24"/>
      <c r="N27" s="213"/>
      <c r="O27" s="213"/>
      <c r="P27" s="213"/>
      <c r="Q27" s="207"/>
      <c r="R27" s="206" t="s">
        <v>117</v>
      </c>
      <c r="S27" s="214">
        <v>1050</v>
      </c>
      <c r="T27" s="24"/>
      <c r="U27" s="219"/>
      <c r="V27" s="203"/>
      <c r="W27" s="53"/>
      <c r="X27" s="53"/>
      <c r="Y27" s="53"/>
      <c r="Z27" s="53"/>
      <c r="AA27" s="53"/>
      <c r="AB27" s="53"/>
      <c r="AC27" s="24"/>
      <c r="AD27" s="225"/>
      <c r="AE27" s="225"/>
      <c r="AF27" s="225"/>
      <c r="AG27" s="24"/>
      <c r="AH27" s="24"/>
      <c r="AI27" s="220"/>
      <c r="AJ27" s="24"/>
      <c r="AK27" s="226" t="s">
        <v>117</v>
      </c>
      <c r="AL27" s="226">
        <v>200</v>
      </c>
      <c r="AM27" s="207"/>
      <c r="AN27" s="222"/>
      <c r="AO27" s="222"/>
      <c r="AP27" s="223"/>
      <c r="AQ27" s="223"/>
      <c r="AR27" s="223"/>
      <c r="AS27" s="76"/>
      <c r="AT27" s="76"/>
      <c r="AU27" s="76"/>
    </row>
    <row r="28" spans="1:47" ht="21.6" x14ac:dyDescent="0.45">
      <c r="A28" s="216"/>
      <c r="B28" s="216"/>
      <c r="C28" s="216"/>
      <c r="D28" s="216"/>
      <c r="E28" s="216"/>
      <c r="F28" s="216"/>
      <c r="G28" s="216"/>
      <c r="H28" s="216"/>
      <c r="I28" s="216"/>
      <c r="J28" s="216"/>
      <c r="K28" s="216"/>
      <c r="L28" s="198"/>
      <c r="M28" s="198"/>
      <c r="N28" s="198"/>
      <c r="O28" s="198"/>
      <c r="P28" s="198"/>
      <c r="Q28" s="227"/>
      <c r="R28" s="206"/>
      <c r="S28" s="214"/>
      <c r="T28" s="24"/>
      <c r="U28" s="219"/>
      <c r="V28" s="203"/>
      <c r="W28" s="53"/>
      <c r="X28" s="53"/>
      <c r="Y28" s="53"/>
      <c r="Z28" s="53"/>
      <c r="AA28" s="53"/>
      <c r="AB28" s="53"/>
      <c r="AC28" s="24"/>
      <c r="AG28" s="24"/>
      <c r="AH28" s="24"/>
      <c r="AI28" s="220"/>
      <c r="AJ28" s="24"/>
      <c r="AK28" s="221"/>
      <c r="AL28" s="221"/>
      <c r="AM28" s="207"/>
      <c r="AN28" s="222"/>
      <c r="AO28" s="222"/>
      <c r="AP28" s="223"/>
      <c r="AQ28" s="223"/>
      <c r="AR28" s="223"/>
      <c r="AS28" s="76"/>
      <c r="AT28" s="76"/>
      <c r="AU28" s="76"/>
    </row>
    <row r="29" spans="1:47" ht="21.6" x14ac:dyDescent="0.45">
      <c r="A29" s="216"/>
      <c r="B29" s="216"/>
      <c r="C29" s="216"/>
      <c r="D29" s="216"/>
      <c r="E29" s="216"/>
      <c r="F29" s="216"/>
      <c r="G29" s="216"/>
      <c r="H29" s="216"/>
      <c r="I29" s="216"/>
      <c r="J29" s="216"/>
      <c r="K29" s="216"/>
      <c r="L29" s="198"/>
      <c r="M29" s="198"/>
      <c r="N29" s="198"/>
      <c r="O29" s="198"/>
      <c r="P29" s="198"/>
      <c r="Q29" s="227"/>
      <c r="R29" s="206" t="s">
        <v>118</v>
      </c>
      <c r="S29" s="214">
        <v>1134</v>
      </c>
      <c r="T29" s="24"/>
      <c r="U29" s="219"/>
      <c r="V29" s="203"/>
      <c r="W29" s="53"/>
      <c r="X29" s="53"/>
      <c r="Y29" s="53"/>
      <c r="Z29" s="53"/>
      <c r="AA29" s="53"/>
      <c r="AB29" s="53"/>
      <c r="AC29" s="24"/>
      <c r="AG29" s="24"/>
      <c r="AH29" s="24"/>
      <c r="AI29" s="220"/>
      <c r="AJ29" s="24"/>
      <c r="AK29" s="221" t="s">
        <v>118</v>
      </c>
      <c r="AL29" s="221">
        <v>90</v>
      </c>
      <c r="AM29" s="207"/>
      <c r="AN29" s="222"/>
      <c r="AO29" s="222"/>
      <c r="AP29" s="223"/>
      <c r="AQ29" s="223"/>
      <c r="AR29" s="223"/>
      <c r="AS29" s="76"/>
      <c r="AT29" s="76"/>
      <c r="AU29" s="76"/>
    </row>
    <row r="30" spans="1:47" ht="21.6" x14ac:dyDescent="0.45">
      <c r="A30" s="228"/>
      <c r="B30" s="229" t="s">
        <v>119</v>
      </c>
      <c r="C30" s="230" t="s">
        <v>120</v>
      </c>
      <c r="D30" s="230" t="s">
        <v>121</v>
      </c>
      <c r="E30" s="231" t="s">
        <v>122</v>
      </c>
      <c r="F30" s="232" t="s">
        <v>123</v>
      </c>
      <c r="G30" s="233" t="s">
        <v>43</v>
      </c>
      <c r="H30" s="234" t="s">
        <v>124</v>
      </c>
      <c r="I30" s="234" t="s">
        <v>125</v>
      </c>
      <c r="J30" s="234" t="s">
        <v>125</v>
      </c>
      <c r="K30" s="216"/>
      <c r="L30" s="198"/>
      <c r="M30" s="198"/>
      <c r="N30" s="198"/>
      <c r="O30" s="198"/>
      <c r="P30" s="198"/>
      <c r="Q30" s="227"/>
      <c r="R30" s="206" t="s">
        <v>126</v>
      </c>
      <c r="S30" s="214">
        <v>982</v>
      </c>
      <c r="T30" s="24"/>
      <c r="U30" s="219"/>
      <c r="V30" s="203"/>
      <c r="W30" s="53"/>
      <c r="X30" s="53"/>
      <c r="Y30" s="53"/>
      <c r="Z30" s="204"/>
      <c r="AA30" s="204"/>
      <c r="AB30" s="204"/>
      <c r="AC30" s="203"/>
      <c r="AD30" s="203"/>
      <c r="AE30" s="24"/>
      <c r="AF30" s="24"/>
      <c r="AG30" s="24"/>
      <c r="AH30" s="24"/>
      <c r="AI30" s="220"/>
      <c r="AJ30" s="24"/>
      <c r="AK30" s="221" t="s">
        <v>126</v>
      </c>
      <c r="AL30" s="221">
        <v>376</v>
      </c>
      <c r="AM30" s="207"/>
      <c r="AN30" s="222"/>
      <c r="AO30" s="222"/>
      <c r="AP30" s="223"/>
      <c r="AQ30" s="223"/>
      <c r="AR30" s="223"/>
      <c r="AS30" s="76"/>
      <c r="AT30" s="76"/>
      <c r="AU30" s="76"/>
    </row>
    <row r="31" spans="1:47" ht="21.6" x14ac:dyDescent="0.55000000000000004">
      <c r="A31" s="235" t="s">
        <v>127</v>
      </c>
      <c r="B31" s="236" t="s">
        <v>128</v>
      </c>
      <c r="C31" s="237" t="s">
        <v>129</v>
      </c>
      <c r="D31" s="237" t="s">
        <v>130</v>
      </c>
      <c r="E31" s="238">
        <v>17</v>
      </c>
      <c r="F31" s="239">
        <v>180</v>
      </c>
      <c r="G31" s="240"/>
      <c r="H31" s="240"/>
      <c r="I31" s="240">
        <v>180</v>
      </c>
      <c r="J31" s="240"/>
      <c r="K31" s="216"/>
      <c r="L31" s="198"/>
      <c r="M31" s="198"/>
      <c r="N31" s="198"/>
      <c r="O31" s="241"/>
      <c r="P31" s="198"/>
      <c r="Q31" s="198"/>
      <c r="R31" s="206" t="s">
        <v>131</v>
      </c>
      <c r="S31" s="214">
        <v>466</v>
      </c>
      <c r="T31" s="198"/>
      <c r="U31" s="219"/>
      <c r="V31" s="203"/>
      <c r="W31" s="53"/>
      <c r="X31" s="53"/>
      <c r="Y31" s="53"/>
      <c r="Z31" s="204"/>
      <c r="AA31" s="204"/>
      <c r="AB31" s="204"/>
      <c r="AC31" s="203"/>
      <c r="AD31" s="203"/>
      <c r="AE31" s="24"/>
      <c r="AF31" s="24"/>
      <c r="AG31" s="24"/>
      <c r="AH31" s="24"/>
      <c r="AI31" s="220"/>
      <c r="AJ31" s="24"/>
      <c r="AK31" s="221" t="s">
        <v>131</v>
      </c>
      <c r="AL31" s="221">
        <v>727</v>
      </c>
      <c r="AM31" s="207"/>
      <c r="AN31" s="222"/>
      <c r="AO31" s="222"/>
      <c r="AP31" s="223"/>
      <c r="AQ31" s="223"/>
      <c r="AR31" s="223"/>
      <c r="AS31" s="76"/>
      <c r="AT31" s="76"/>
      <c r="AU31" s="76"/>
    </row>
    <row r="32" spans="1:47" ht="22.2" x14ac:dyDescent="0.6">
      <c r="A32" s="242">
        <f>SUM(F31:F35)</f>
        <v>940</v>
      </c>
      <c r="B32" s="66"/>
      <c r="C32" s="66"/>
      <c r="D32" s="66"/>
      <c r="E32" s="238">
        <v>18</v>
      </c>
      <c r="F32" s="239">
        <v>180</v>
      </c>
      <c r="G32" s="240"/>
      <c r="H32" s="240"/>
      <c r="I32" s="240">
        <v>180</v>
      </c>
      <c r="J32" s="240"/>
      <c r="K32" s="216"/>
      <c r="L32" s="198"/>
      <c r="M32" s="198"/>
      <c r="N32" s="198"/>
      <c r="O32" s="241"/>
      <c r="P32" s="198"/>
      <c r="Q32" s="198"/>
      <c r="R32" s="206" t="s">
        <v>132</v>
      </c>
      <c r="S32" s="214">
        <v>1118</v>
      </c>
      <c r="T32" s="198"/>
      <c r="U32" s="219"/>
      <c r="V32" s="203"/>
      <c r="W32" s="53"/>
      <c r="X32" s="53"/>
      <c r="Y32" s="53"/>
      <c r="Z32" s="204"/>
      <c r="AA32" s="204"/>
      <c r="AB32" s="204"/>
      <c r="AC32" s="203"/>
      <c r="AD32" s="203"/>
      <c r="AE32" s="24"/>
      <c r="AF32" s="24"/>
      <c r="AG32" s="24"/>
      <c r="AH32" s="24"/>
      <c r="AI32" s="220"/>
      <c r="AJ32" s="24"/>
      <c r="AK32" s="221" t="s">
        <v>132</v>
      </c>
      <c r="AL32" s="221">
        <v>619</v>
      </c>
      <c r="AM32" s="207"/>
      <c r="AN32" s="222"/>
      <c r="AO32" s="222"/>
      <c r="AP32" s="223"/>
      <c r="AQ32" s="223"/>
      <c r="AR32" s="223"/>
      <c r="AS32" s="76"/>
      <c r="AT32" s="76"/>
      <c r="AU32" s="76"/>
    </row>
    <row r="33" spans="1:47" ht="21.6" x14ac:dyDescent="0.55000000000000004">
      <c r="A33" s="235"/>
      <c r="B33" s="195"/>
      <c r="C33" s="195"/>
      <c r="D33" s="195"/>
      <c r="E33" s="238">
        <v>19</v>
      </c>
      <c r="F33" s="239">
        <v>180</v>
      </c>
      <c r="G33" s="240"/>
      <c r="H33" s="240"/>
      <c r="I33" s="240">
        <v>180</v>
      </c>
      <c r="J33" s="240"/>
      <c r="K33" s="216"/>
      <c r="L33" s="198"/>
      <c r="M33" s="198"/>
      <c r="N33" s="198"/>
      <c r="O33" s="241"/>
      <c r="P33" s="198"/>
      <c r="Q33" s="198"/>
      <c r="R33" s="206" t="s">
        <v>133</v>
      </c>
      <c r="S33" s="214">
        <v>809</v>
      </c>
      <c r="T33" s="198"/>
      <c r="U33" s="219"/>
      <c r="V33" s="203"/>
      <c r="W33" s="53"/>
      <c r="X33" s="53"/>
      <c r="Y33" s="53"/>
      <c r="Z33" s="204"/>
      <c r="AA33" s="204"/>
      <c r="AB33" s="204"/>
      <c r="AC33" s="203"/>
      <c r="AD33" s="203"/>
      <c r="AE33" s="24"/>
      <c r="AF33" s="24"/>
      <c r="AG33" s="24"/>
      <c r="AH33" s="24"/>
      <c r="AI33" s="220"/>
      <c r="AJ33" s="24"/>
      <c r="AK33" s="221" t="s">
        <v>133</v>
      </c>
      <c r="AL33" s="221">
        <v>508</v>
      </c>
      <c r="AM33" s="207"/>
      <c r="AN33" s="222"/>
      <c r="AO33" s="222"/>
      <c r="AP33" s="223"/>
      <c r="AQ33" s="223"/>
      <c r="AR33" s="223"/>
      <c r="AS33" s="76"/>
      <c r="AT33" s="76"/>
      <c r="AU33" s="76"/>
    </row>
    <row r="34" spans="1:47" ht="21.6" x14ac:dyDescent="0.55000000000000004">
      <c r="A34" s="235"/>
      <c r="B34" s="236" t="s">
        <v>134</v>
      </c>
      <c r="C34" s="237" t="s">
        <v>135</v>
      </c>
      <c r="D34" s="237" t="s">
        <v>130</v>
      </c>
      <c r="E34" s="238">
        <v>3</v>
      </c>
      <c r="F34" s="239">
        <v>200</v>
      </c>
      <c r="G34" s="240"/>
      <c r="H34" s="240"/>
      <c r="I34" s="240">
        <v>200</v>
      </c>
      <c r="J34" s="240"/>
      <c r="K34" s="216"/>
      <c r="L34" s="198"/>
      <c r="M34" s="198"/>
      <c r="N34" s="198"/>
      <c r="O34" s="241"/>
      <c r="P34" s="198"/>
      <c r="Q34" s="227"/>
      <c r="R34" s="243" t="s">
        <v>136</v>
      </c>
      <c r="S34" s="244">
        <v>857</v>
      </c>
      <c r="T34" s="24"/>
      <c r="U34" s="203"/>
      <c r="W34" s="53"/>
      <c r="X34" s="53"/>
      <c r="Y34" s="53"/>
      <c r="Z34" s="204"/>
      <c r="AA34" s="204"/>
      <c r="AB34" s="204"/>
      <c r="AC34" s="203"/>
      <c r="AD34" s="203"/>
      <c r="AE34" s="24"/>
      <c r="AF34" s="24"/>
      <c r="AG34" s="24"/>
      <c r="AH34" s="24"/>
      <c r="AI34" s="220"/>
      <c r="AJ34" s="24"/>
      <c r="AK34" s="221" t="s">
        <v>136</v>
      </c>
      <c r="AL34" s="221">
        <v>207</v>
      </c>
      <c r="AM34" s="207"/>
      <c r="AN34" s="222"/>
      <c r="AO34" s="222"/>
      <c r="AP34" s="223"/>
      <c r="AQ34" s="223"/>
      <c r="AR34" s="223"/>
      <c r="AS34" s="76"/>
      <c r="AT34" s="76"/>
      <c r="AU34" s="76"/>
    </row>
    <row r="35" spans="1:47" ht="21.6" x14ac:dyDescent="0.55000000000000004">
      <c r="A35" s="235"/>
      <c r="B35" s="66"/>
      <c r="C35" s="66"/>
      <c r="D35" s="66"/>
      <c r="E35" s="238">
        <v>4</v>
      </c>
      <c r="F35" s="239">
        <v>200</v>
      </c>
      <c r="G35" s="240"/>
      <c r="H35" s="240"/>
      <c r="I35" s="240">
        <v>200</v>
      </c>
      <c r="J35" s="240"/>
      <c r="K35" s="216"/>
      <c r="L35" s="198"/>
      <c r="M35" s="198"/>
      <c r="N35" s="198"/>
      <c r="O35" s="241"/>
      <c r="P35" s="216"/>
      <c r="Q35" s="245"/>
      <c r="R35" s="206"/>
      <c r="S35" s="214"/>
      <c r="T35" s="24"/>
      <c r="U35" s="219"/>
      <c r="V35" s="203"/>
      <c r="W35" s="53"/>
      <c r="X35" s="53"/>
      <c r="Y35" s="53"/>
      <c r="Z35" s="204"/>
      <c r="AA35" s="204"/>
      <c r="AB35" s="204"/>
      <c r="AC35" s="203"/>
      <c r="AD35" s="203"/>
      <c r="AE35" s="24"/>
      <c r="AF35" s="24"/>
      <c r="AG35" s="24"/>
      <c r="AH35" s="24"/>
      <c r="AI35" s="220"/>
      <c r="AJ35" s="24"/>
      <c r="AK35" s="246"/>
      <c r="AL35" s="221"/>
      <c r="AM35" s="207"/>
      <c r="AN35" s="222"/>
      <c r="AO35" s="222"/>
      <c r="AP35" s="223"/>
      <c r="AQ35" s="223"/>
      <c r="AR35" s="223"/>
      <c r="AS35" s="76"/>
      <c r="AT35" s="76"/>
      <c r="AU35" s="76"/>
    </row>
    <row r="36" spans="1:47" ht="21.6" x14ac:dyDescent="0.55000000000000004">
      <c r="A36" s="235"/>
      <c r="B36" s="195"/>
      <c r="C36" s="195"/>
      <c r="D36" s="195"/>
      <c r="E36" s="238">
        <v>5</v>
      </c>
      <c r="F36" s="239">
        <v>200</v>
      </c>
      <c r="G36" s="240"/>
      <c r="H36" s="240"/>
      <c r="I36" s="240">
        <v>200</v>
      </c>
      <c r="J36" s="240"/>
      <c r="K36" s="216"/>
      <c r="L36" s="198"/>
      <c r="M36" s="198"/>
      <c r="N36" s="198"/>
      <c r="O36" s="241"/>
      <c r="P36" s="216"/>
      <c r="Q36" s="245"/>
      <c r="R36" s="206"/>
      <c r="S36" s="214"/>
      <c r="T36" s="24"/>
      <c r="U36" s="219"/>
      <c r="V36" s="203"/>
      <c r="W36" s="53"/>
      <c r="X36" s="53"/>
      <c r="Y36" s="53"/>
      <c r="Z36" s="204"/>
      <c r="AA36" s="204"/>
      <c r="AB36" s="204"/>
      <c r="AC36" s="203"/>
      <c r="AD36" s="203"/>
      <c r="AE36" s="24"/>
      <c r="AF36" s="24"/>
      <c r="AG36" s="24"/>
      <c r="AH36" s="24"/>
      <c r="AI36" s="220"/>
      <c r="AJ36" s="24"/>
      <c r="AK36" s="246"/>
      <c r="AL36" s="221"/>
      <c r="AM36" s="207"/>
      <c r="AN36" s="222"/>
      <c r="AO36" s="222"/>
      <c r="AP36" s="223"/>
      <c r="AQ36" s="223"/>
      <c r="AR36" s="223"/>
      <c r="AS36" s="76"/>
      <c r="AT36" s="76"/>
      <c r="AU36" s="76"/>
    </row>
    <row r="37" spans="1:47" ht="21.6" x14ac:dyDescent="0.55000000000000004">
      <c r="A37" s="235"/>
      <c r="B37" s="236" t="s">
        <v>128</v>
      </c>
      <c r="C37" s="237" t="s">
        <v>129</v>
      </c>
      <c r="D37" s="237" t="s">
        <v>130</v>
      </c>
      <c r="E37" s="238">
        <v>20</v>
      </c>
      <c r="F37" s="239">
        <v>180</v>
      </c>
      <c r="G37" s="240"/>
      <c r="H37" s="240"/>
      <c r="I37" s="240">
        <v>180</v>
      </c>
      <c r="J37" s="240"/>
      <c r="K37" s="216"/>
      <c r="L37" s="198"/>
      <c r="M37" s="198"/>
      <c r="N37" s="198"/>
      <c r="O37" s="216"/>
      <c r="P37" s="216"/>
      <c r="Q37" s="245"/>
      <c r="R37" s="246" t="s">
        <v>137</v>
      </c>
      <c r="S37" s="214">
        <v>980</v>
      </c>
      <c r="T37" s="24"/>
      <c r="U37" s="219"/>
      <c r="V37" s="203"/>
      <c r="W37" s="53"/>
      <c r="X37" s="53"/>
      <c r="Y37" s="53"/>
      <c r="Z37" s="204"/>
      <c r="AA37" s="204"/>
      <c r="AB37" s="204"/>
      <c r="AC37" s="203"/>
      <c r="AD37" s="203"/>
      <c r="AE37" s="24"/>
      <c r="AF37" s="24"/>
      <c r="AG37" s="24"/>
      <c r="AH37" s="24"/>
      <c r="AI37" s="220"/>
      <c r="AJ37" s="24"/>
      <c r="AK37" s="246" t="s">
        <v>137</v>
      </c>
      <c r="AL37" s="221">
        <v>393</v>
      </c>
      <c r="AM37" s="207"/>
      <c r="AN37" s="222"/>
      <c r="AO37" s="222"/>
      <c r="AP37" s="223"/>
      <c r="AQ37" s="223"/>
      <c r="AR37" s="223"/>
      <c r="AS37" s="76"/>
      <c r="AT37" s="76"/>
      <c r="AU37" s="76"/>
    </row>
    <row r="38" spans="1:47" ht="21.6" x14ac:dyDescent="0.55000000000000004">
      <c r="A38" s="235"/>
      <c r="B38" s="66"/>
      <c r="C38" s="66"/>
      <c r="D38" s="66"/>
      <c r="E38" s="238"/>
      <c r="F38" s="239"/>
      <c r="G38" s="240"/>
      <c r="H38" s="240"/>
      <c r="I38" s="240"/>
      <c r="J38" s="240"/>
      <c r="K38" s="216"/>
      <c r="L38" s="198"/>
      <c r="M38" s="198"/>
      <c r="N38" s="198"/>
      <c r="O38" s="216"/>
      <c r="P38" s="216"/>
      <c r="Q38" s="245"/>
      <c r="R38" s="246" t="s">
        <v>138</v>
      </c>
      <c r="S38" s="214">
        <v>440</v>
      </c>
      <c r="T38" s="24"/>
      <c r="U38" s="219"/>
      <c r="V38" s="203"/>
      <c r="W38" s="53"/>
      <c r="X38" s="53"/>
      <c r="Y38" s="53"/>
      <c r="Z38" s="53"/>
      <c r="AA38" s="53"/>
      <c r="AB38" s="53"/>
      <c r="AC38" s="24"/>
      <c r="AD38" s="24"/>
      <c r="AE38" s="24"/>
      <c r="AF38" s="76"/>
      <c r="AH38" s="24"/>
      <c r="AI38" s="220"/>
      <c r="AJ38" s="24"/>
      <c r="AK38" s="246" t="s">
        <v>138</v>
      </c>
      <c r="AL38" s="221">
        <v>294</v>
      </c>
      <c r="AM38" s="207"/>
      <c r="AN38" s="222"/>
      <c r="AO38" s="222"/>
      <c r="AP38" s="223"/>
      <c r="AQ38" s="75"/>
      <c r="AR38" s="75"/>
      <c r="AS38" s="76"/>
      <c r="AT38" s="76"/>
      <c r="AU38" s="76"/>
    </row>
    <row r="39" spans="1:47" ht="21.6" x14ac:dyDescent="0.55000000000000004">
      <c r="A39" s="235"/>
      <c r="B39" s="195"/>
      <c r="C39" s="195"/>
      <c r="D39" s="195"/>
      <c r="E39" s="238"/>
      <c r="F39" s="239"/>
      <c r="G39" s="240"/>
      <c r="H39" s="240"/>
      <c r="I39" s="240"/>
      <c r="J39" s="240"/>
      <c r="K39" s="216"/>
      <c r="L39" s="198"/>
      <c r="M39" s="198"/>
      <c r="N39" s="216"/>
      <c r="O39" s="216"/>
      <c r="P39" s="216"/>
      <c r="Q39" s="245"/>
      <c r="R39" s="246" t="s">
        <v>139</v>
      </c>
      <c r="S39" s="214">
        <v>638</v>
      </c>
      <c r="T39" s="24"/>
      <c r="U39" s="219"/>
      <c r="W39" s="53"/>
      <c r="X39" s="53"/>
      <c r="Y39" s="53"/>
      <c r="Z39" s="53"/>
      <c r="AA39" s="53"/>
      <c r="AB39" s="53"/>
      <c r="AC39" s="24"/>
      <c r="AD39" s="24"/>
      <c r="AE39" s="24"/>
      <c r="AF39" s="76"/>
      <c r="AH39" s="24"/>
      <c r="AI39" s="220"/>
      <c r="AJ39" s="24"/>
      <c r="AK39" s="221" t="s">
        <v>139</v>
      </c>
      <c r="AL39" s="221">
        <v>388</v>
      </c>
      <c r="AM39" s="207"/>
      <c r="AN39" s="222"/>
      <c r="AO39" s="222"/>
      <c r="AP39" s="223"/>
      <c r="AQ39" s="75"/>
      <c r="AR39" s="75"/>
      <c r="AS39" s="76"/>
      <c r="AT39" s="76"/>
      <c r="AU39" s="76"/>
    </row>
    <row r="40" spans="1:47" ht="22.2" thickBot="1" x14ac:dyDescent="0.55000000000000004">
      <c r="A40" s="247"/>
      <c r="B40" s="216"/>
      <c r="C40" s="248"/>
      <c r="D40" s="248"/>
      <c r="E40" s="198"/>
      <c r="F40" s="249"/>
      <c r="G40" s="250"/>
      <c r="H40" s="250"/>
      <c r="I40" s="250"/>
      <c r="J40" s="250"/>
      <c r="K40" s="216"/>
      <c r="L40" s="198"/>
      <c r="M40" s="198"/>
      <c r="N40" s="198"/>
      <c r="O40" s="198"/>
      <c r="P40" s="198"/>
      <c r="Q40" s="245"/>
      <c r="R40" s="246" t="s">
        <v>140</v>
      </c>
      <c r="S40" s="214">
        <v>863</v>
      </c>
      <c r="T40" s="24"/>
      <c r="U40" s="219"/>
      <c r="V40" s="203"/>
      <c r="W40" s="53"/>
      <c r="X40" s="53"/>
      <c r="Y40" s="53"/>
      <c r="Z40" s="53"/>
      <c r="AA40" s="53"/>
      <c r="AB40" s="53"/>
      <c r="AC40" s="24"/>
      <c r="AD40" s="24"/>
      <c r="AE40" s="24"/>
      <c r="AF40" s="76"/>
      <c r="AG40" s="24"/>
      <c r="AH40" s="24"/>
      <c r="AI40" s="220"/>
      <c r="AJ40" s="24"/>
      <c r="AK40" s="221" t="s">
        <v>140</v>
      </c>
      <c r="AL40" s="221">
        <v>1100</v>
      </c>
      <c r="AM40" s="207"/>
      <c r="AN40" s="207"/>
      <c r="AO40" s="207"/>
      <c r="AP40" s="246"/>
      <c r="AQ40" s="251"/>
      <c r="AR40" s="251"/>
      <c r="AS40" s="24"/>
      <c r="AT40" s="24"/>
      <c r="AU40" s="24"/>
    </row>
    <row r="41" spans="1:47" ht="22.2" thickTop="1" x14ac:dyDescent="0.55000000000000004">
      <c r="A41" s="252" t="s">
        <v>141</v>
      </c>
      <c r="B41" s="253" t="s">
        <v>142</v>
      </c>
      <c r="C41" s="254" t="s">
        <v>143</v>
      </c>
      <c r="D41" s="255" t="s">
        <v>144</v>
      </c>
      <c r="E41" s="256">
        <v>1</v>
      </c>
      <c r="F41" s="257">
        <v>400</v>
      </c>
      <c r="G41" s="258"/>
      <c r="H41" s="258"/>
      <c r="I41" s="259">
        <v>400</v>
      </c>
      <c r="J41" s="260"/>
      <c r="K41" s="216"/>
      <c r="L41" s="198"/>
      <c r="M41" s="198"/>
      <c r="N41" s="261"/>
      <c r="O41" s="261"/>
      <c r="P41" s="261"/>
      <c r="Q41" s="245"/>
      <c r="R41" s="246" t="s">
        <v>145</v>
      </c>
      <c r="S41" s="214">
        <v>635</v>
      </c>
      <c r="T41" s="24"/>
      <c r="U41" s="219"/>
      <c r="V41" s="203"/>
      <c r="W41" s="53"/>
      <c r="X41" s="53"/>
      <c r="Y41" s="53"/>
      <c r="Z41" s="53"/>
      <c r="AA41" s="53"/>
      <c r="AB41" s="53"/>
      <c r="AC41" s="24"/>
      <c r="AD41" s="24"/>
      <c r="AE41" s="24"/>
      <c r="AF41" s="76"/>
      <c r="AG41" s="24"/>
      <c r="AH41" s="24"/>
      <c r="AI41" s="220"/>
      <c r="AJ41" s="24"/>
      <c r="AK41" s="221" t="s">
        <v>145</v>
      </c>
      <c r="AL41" s="221">
        <v>454</v>
      </c>
      <c r="AM41" s="246"/>
      <c r="AN41" s="222"/>
      <c r="AO41" s="222"/>
      <c r="AP41" s="208"/>
      <c r="AQ41" s="251"/>
      <c r="AR41" s="251"/>
      <c r="AS41" s="24"/>
      <c r="AT41" s="24"/>
      <c r="AU41" s="24"/>
    </row>
    <row r="42" spans="1:47" ht="22.2" thickBot="1" x14ac:dyDescent="0.6">
      <c r="A42" s="262"/>
      <c r="B42" s="263"/>
      <c r="C42" s="264"/>
      <c r="D42" s="265"/>
      <c r="E42" s="266"/>
      <c r="F42" s="267"/>
      <c r="G42" s="268"/>
      <c r="H42" s="268"/>
      <c r="I42" s="269"/>
      <c r="J42" s="270"/>
      <c r="K42" s="216"/>
      <c r="L42" s="198"/>
      <c r="M42" s="198"/>
      <c r="N42" s="261"/>
      <c r="O42" s="261"/>
      <c r="P42" s="261"/>
      <c r="Q42" s="245"/>
      <c r="R42" s="243" t="s">
        <v>146</v>
      </c>
      <c r="S42" s="244">
        <v>293</v>
      </c>
      <c r="T42" s="24"/>
      <c r="U42" s="219"/>
      <c r="V42" s="203"/>
      <c r="W42" s="53"/>
      <c r="X42" s="53"/>
      <c r="Y42" s="53"/>
      <c r="Z42" s="53"/>
      <c r="AA42" s="53"/>
      <c r="AB42" s="53"/>
      <c r="AC42" s="24"/>
      <c r="AD42" s="24"/>
      <c r="AE42" s="24"/>
      <c r="AF42" s="76"/>
      <c r="AG42" s="24"/>
      <c r="AH42" s="24"/>
      <c r="AI42" s="220"/>
      <c r="AJ42" s="24"/>
      <c r="AK42" s="221" t="s">
        <v>146</v>
      </c>
      <c r="AL42" s="221">
        <v>127</v>
      </c>
      <c r="AM42" s="246"/>
      <c r="AN42" s="222"/>
      <c r="AO42" s="222"/>
      <c r="AP42" s="208"/>
      <c r="AQ42" s="251"/>
      <c r="AR42" s="251"/>
      <c r="AS42" s="24"/>
      <c r="AT42" s="24"/>
      <c r="AU42" s="24"/>
    </row>
    <row r="43" spans="1:47" ht="22.2" thickTop="1" x14ac:dyDescent="0.55000000000000004">
      <c r="A43" s="262">
        <f>F41+F43+F44</f>
        <v>620</v>
      </c>
      <c r="B43" s="271" t="s">
        <v>147</v>
      </c>
      <c r="C43" s="255" t="s">
        <v>148</v>
      </c>
      <c r="D43" s="255" t="s">
        <v>149</v>
      </c>
      <c r="E43" s="256">
        <v>11</v>
      </c>
      <c r="F43" s="257">
        <v>80</v>
      </c>
      <c r="G43" s="258"/>
      <c r="H43" s="258">
        <v>80</v>
      </c>
      <c r="I43" s="258"/>
      <c r="J43" s="259"/>
      <c r="K43" s="272"/>
      <c r="L43" s="273"/>
      <c r="M43" s="273"/>
      <c r="N43" s="273"/>
      <c r="O43" s="261"/>
      <c r="P43" s="261"/>
      <c r="Q43" s="245"/>
      <c r="R43" s="243" t="s">
        <v>150</v>
      </c>
      <c r="S43" s="244">
        <v>1065</v>
      </c>
      <c r="T43" s="24"/>
      <c r="U43" s="219"/>
      <c r="V43" s="203"/>
      <c r="W43" s="53"/>
      <c r="X43" s="53"/>
      <c r="Y43" s="53"/>
      <c r="Z43" s="53"/>
      <c r="AA43" s="53"/>
      <c r="AB43" s="53"/>
      <c r="AC43" s="24"/>
      <c r="AD43" s="24"/>
      <c r="AE43" s="24"/>
      <c r="AF43" s="76"/>
      <c r="AG43" s="24"/>
      <c r="AH43" s="24"/>
      <c r="AI43" s="220"/>
      <c r="AJ43" s="24"/>
      <c r="AK43" s="221" t="s">
        <v>150</v>
      </c>
      <c r="AL43" s="221">
        <v>676</v>
      </c>
      <c r="AM43" s="246"/>
      <c r="AN43" s="222"/>
      <c r="AO43" s="222"/>
      <c r="AP43" s="208"/>
      <c r="AQ43" s="251"/>
      <c r="AR43" s="251"/>
      <c r="AS43" s="24"/>
      <c r="AT43" s="24"/>
      <c r="AU43" s="24"/>
    </row>
    <row r="44" spans="1:47" ht="22.2" thickBot="1" x14ac:dyDescent="0.6">
      <c r="A44" s="262"/>
      <c r="B44" s="274"/>
      <c r="C44" s="275"/>
      <c r="D44" s="275"/>
      <c r="E44" s="276">
        <v>12</v>
      </c>
      <c r="F44" s="277">
        <v>140</v>
      </c>
      <c r="G44" s="278"/>
      <c r="H44" s="278">
        <v>140</v>
      </c>
      <c r="I44" s="278"/>
      <c r="J44" s="279"/>
      <c r="K44" s="216"/>
      <c r="L44" s="198"/>
      <c r="M44" s="198"/>
      <c r="N44" s="216"/>
      <c r="O44" s="216"/>
      <c r="P44" s="216"/>
      <c r="Q44" s="245"/>
      <c r="R44" s="243"/>
      <c r="S44" s="244"/>
      <c r="T44" s="24"/>
      <c r="U44" s="219"/>
      <c r="V44" s="203"/>
      <c r="W44" s="53"/>
      <c r="X44" s="53"/>
      <c r="Y44" s="53"/>
      <c r="Z44" s="53"/>
      <c r="AA44" s="53"/>
      <c r="AB44" s="53"/>
      <c r="AC44" s="24"/>
      <c r="AD44" s="24"/>
      <c r="AE44" s="24"/>
      <c r="AF44" s="76"/>
      <c r="AG44" s="24"/>
      <c r="AH44" s="24"/>
      <c r="AI44" s="220"/>
      <c r="AJ44" s="24"/>
      <c r="AK44" s="221"/>
      <c r="AL44" s="221"/>
      <c r="AM44" s="246"/>
      <c r="AN44" s="222"/>
      <c r="AO44" s="222"/>
      <c r="AP44" s="208"/>
      <c r="AQ44" s="251"/>
      <c r="AR44" s="251"/>
      <c r="AS44" s="24"/>
      <c r="AT44" s="24"/>
      <c r="AU44" s="24"/>
    </row>
    <row r="45" spans="1:47" ht="22.2" thickTop="1" x14ac:dyDescent="0.55000000000000004">
      <c r="A45" s="280"/>
      <c r="B45" s="281"/>
      <c r="C45" s="282"/>
      <c r="D45" s="282"/>
      <c r="E45" s="283"/>
      <c r="F45" s="284"/>
      <c r="G45" s="285"/>
      <c r="H45" s="285"/>
      <c r="I45" s="286"/>
      <c r="J45" s="287"/>
      <c r="K45" s="216"/>
      <c r="L45" s="198"/>
      <c r="M45" s="198"/>
      <c r="N45" s="216"/>
      <c r="O45" s="216"/>
      <c r="P45" s="216"/>
      <c r="Q45" s="245"/>
      <c r="R45" s="243"/>
      <c r="S45" s="244"/>
      <c r="T45" s="24"/>
      <c r="U45" s="219"/>
      <c r="V45" s="203"/>
      <c r="W45" s="53"/>
      <c r="X45" s="53"/>
      <c r="Y45" s="53"/>
      <c r="Z45" s="53"/>
      <c r="AA45" s="53"/>
      <c r="AB45" s="53"/>
      <c r="AC45" s="24"/>
      <c r="AD45" s="24"/>
      <c r="AE45" s="24"/>
      <c r="AF45" s="76"/>
      <c r="AG45" s="24"/>
      <c r="AH45" s="24"/>
      <c r="AI45" s="220"/>
      <c r="AJ45" s="24"/>
      <c r="AK45" s="221"/>
      <c r="AL45" s="221"/>
      <c r="AM45" s="246"/>
      <c r="AN45" s="222"/>
      <c r="AO45" s="222"/>
      <c r="AP45" s="208"/>
      <c r="AQ45" s="251"/>
      <c r="AR45" s="251"/>
      <c r="AS45" s="24"/>
      <c r="AT45" s="24"/>
      <c r="AU45" s="24"/>
    </row>
    <row r="46" spans="1:47" ht="21.6" x14ac:dyDescent="0.55000000000000004">
      <c r="A46" s="280"/>
      <c r="B46" s="281"/>
      <c r="C46" s="282"/>
      <c r="D46" s="282"/>
      <c r="E46" s="283"/>
      <c r="F46" s="284"/>
      <c r="G46" s="285"/>
      <c r="H46" s="285"/>
      <c r="I46" s="286"/>
      <c r="J46" s="287"/>
      <c r="K46" s="216"/>
      <c r="L46" s="198"/>
      <c r="M46" s="198"/>
      <c r="N46" s="216"/>
      <c r="O46" s="216"/>
      <c r="P46" s="216"/>
      <c r="Q46" s="245"/>
      <c r="R46" s="243"/>
      <c r="S46" s="244"/>
      <c r="T46" s="24"/>
      <c r="U46" s="219"/>
      <c r="V46" s="203"/>
      <c r="W46" s="53"/>
      <c r="X46" s="53"/>
      <c r="Y46" s="53"/>
      <c r="Z46" s="53"/>
      <c r="AA46" s="53"/>
      <c r="AB46" s="53"/>
      <c r="AC46" s="24"/>
      <c r="AD46" s="24"/>
      <c r="AE46" s="24"/>
      <c r="AF46" s="76"/>
      <c r="AG46" s="24"/>
      <c r="AH46" s="24"/>
      <c r="AI46" s="220"/>
      <c r="AJ46" s="24"/>
      <c r="AK46" s="221"/>
      <c r="AL46" s="221"/>
      <c r="AM46" s="246"/>
      <c r="AN46" s="222"/>
      <c r="AO46" s="222"/>
      <c r="AP46" s="208"/>
      <c r="AQ46" s="251"/>
      <c r="AR46" s="251"/>
      <c r="AS46" s="24"/>
      <c r="AT46" s="24"/>
      <c r="AU46" s="24"/>
    </row>
    <row r="47" spans="1:47" ht="36" customHeight="1" thickBot="1" x14ac:dyDescent="0.6">
      <c r="A47" s="288"/>
      <c r="B47" s="288"/>
      <c r="C47" s="282"/>
      <c r="D47" s="282"/>
      <c r="E47" s="283"/>
      <c r="F47" s="284"/>
      <c r="G47" s="285"/>
      <c r="H47" s="285"/>
      <c r="I47" s="286"/>
      <c r="J47" s="287"/>
      <c r="K47" s="216"/>
      <c r="L47" s="198"/>
      <c r="M47" s="289"/>
      <c r="N47" s="289"/>
      <c r="O47" s="289"/>
      <c r="P47" s="289"/>
      <c r="Q47" s="290"/>
      <c r="R47" s="243"/>
      <c r="S47" s="244"/>
      <c r="T47" s="291"/>
      <c r="U47" s="292"/>
      <c r="V47" s="203"/>
      <c r="W47" s="53"/>
      <c r="X47" s="53"/>
      <c r="Y47" s="53"/>
      <c r="Z47" s="53"/>
      <c r="AA47" s="53"/>
      <c r="AB47" s="53"/>
      <c r="AC47" s="24"/>
      <c r="AD47" s="24"/>
      <c r="AE47" s="24"/>
      <c r="AF47" s="76"/>
      <c r="AG47" s="24"/>
      <c r="AH47" s="24"/>
      <c r="AI47" s="220"/>
      <c r="AJ47" s="24"/>
      <c r="AK47" s="221"/>
      <c r="AL47" s="221"/>
      <c r="AM47" s="246"/>
      <c r="AN47" s="222"/>
      <c r="AO47" s="222"/>
      <c r="AP47" s="208"/>
      <c r="AQ47" s="251"/>
      <c r="AR47" s="251"/>
      <c r="AS47" s="24"/>
      <c r="AT47" s="24"/>
      <c r="AU47" s="24"/>
    </row>
    <row r="48" spans="1:47" ht="22.2" thickTop="1" x14ac:dyDescent="0.55000000000000004">
      <c r="A48" s="262" t="s">
        <v>151</v>
      </c>
      <c r="B48" s="293" t="s">
        <v>152</v>
      </c>
      <c r="C48" s="294" t="s">
        <v>153</v>
      </c>
      <c r="D48" s="294" t="s">
        <v>154</v>
      </c>
      <c r="E48" s="256">
        <v>14</v>
      </c>
      <c r="F48" s="257">
        <v>40</v>
      </c>
      <c r="G48" s="258"/>
      <c r="H48" s="258">
        <v>40</v>
      </c>
      <c r="I48" s="259"/>
      <c r="J48" s="260"/>
      <c r="K48" s="295" t="s">
        <v>155</v>
      </c>
      <c r="L48" s="273"/>
      <c r="M48" s="273"/>
      <c r="N48" s="273"/>
      <c r="O48" s="273"/>
      <c r="P48" s="296"/>
      <c r="Q48" s="296"/>
      <c r="R48" s="243"/>
      <c r="S48" s="244"/>
      <c r="T48" s="291"/>
      <c r="U48" s="292"/>
      <c r="V48" s="203"/>
      <c r="W48" s="53"/>
      <c r="X48" s="53"/>
      <c r="Y48" s="53"/>
      <c r="Z48" s="53"/>
      <c r="AA48" s="53"/>
      <c r="AB48" s="53"/>
      <c r="AC48" s="24"/>
      <c r="AD48" s="24"/>
      <c r="AE48" s="24"/>
      <c r="AF48" s="76"/>
      <c r="AG48" s="24"/>
      <c r="AH48" s="24"/>
      <c r="AI48" s="220"/>
      <c r="AJ48" s="24"/>
      <c r="AK48" s="221"/>
      <c r="AL48" s="221"/>
      <c r="AM48" s="246"/>
      <c r="AN48" s="207"/>
      <c r="AO48" s="207"/>
      <c r="AP48" s="246"/>
      <c r="AQ48" s="251"/>
      <c r="AR48" s="251"/>
      <c r="AS48" s="24"/>
      <c r="AT48" s="24"/>
      <c r="AU48" s="24"/>
    </row>
    <row r="49" spans="1:47" ht="22.2" thickBot="1" x14ac:dyDescent="0.6">
      <c r="A49" s="262">
        <f>SUM(F48:F55)</f>
        <v>506</v>
      </c>
      <c r="B49" s="297"/>
      <c r="C49" s="66"/>
      <c r="D49" s="66"/>
      <c r="E49" s="298">
        <v>15</v>
      </c>
      <c r="F49" s="239">
        <v>14</v>
      </c>
      <c r="G49" s="299"/>
      <c r="H49" s="299">
        <v>7</v>
      </c>
      <c r="I49" s="300"/>
      <c r="J49" s="301"/>
      <c r="K49" s="295" t="s">
        <v>155</v>
      </c>
      <c r="L49" s="273"/>
      <c r="M49" s="273"/>
      <c r="N49" s="273"/>
      <c r="O49" s="273"/>
      <c r="P49" s="296"/>
      <c r="Q49" s="296"/>
      <c r="R49" s="243"/>
      <c r="S49" s="244"/>
      <c r="T49" s="291"/>
      <c r="U49" s="292"/>
      <c r="V49" s="203"/>
      <c r="W49" s="53"/>
      <c r="X49" s="53"/>
      <c r="Y49" s="53"/>
      <c r="Z49" s="53"/>
      <c r="AA49" s="53"/>
      <c r="AB49" s="53"/>
      <c r="AC49" s="24"/>
      <c r="AD49" s="24"/>
      <c r="AE49" s="24"/>
      <c r="AF49" s="76"/>
      <c r="AG49" s="24"/>
      <c r="AH49" s="24"/>
      <c r="AI49" s="220"/>
      <c r="AJ49" s="24"/>
      <c r="AK49" s="221"/>
      <c r="AL49" s="221"/>
      <c r="AM49" s="246"/>
      <c r="AN49" s="207"/>
      <c r="AO49" s="207"/>
      <c r="AP49" s="246"/>
      <c r="AQ49" s="251"/>
      <c r="AR49" s="251"/>
      <c r="AS49" s="24"/>
      <c r="AT49" s="24"/>
      <c r="AU49" s="24"/>
    </row>
    <row r="50" spans="1:47" ht="22.2" thickTop="1" x14ac:dyDescent="0.55000000000000004">
      <c r="A50" s="262"/>
      <c r="B50" s="297"/>
      <c r="C50" s="66"/>
      <c r="D50" s="66"/>
      <c r="E50" s="298">
        <v>16</v>
      </c>
      <c r="F50" s="239">
        <v>80</v>
      </c>
      <c r="G50" s="299"/>
      <c r="H50" s="299">
        <v>80</v>
      </c>
      <c r="I50" s="300"/>
      <c r="J50" s="270"/>
      <c r="K50" s="241"/>
      <c r="L50" s="241"/>
      <c r="M50" s="241"/>
      <c r="N50" s="241"/>
      <c r="O50" s="241"/>
      <c r="P50" s="296"/>
      <c r="Q50" s="296"/>
      <c r="R50" s="243"/>
      <c r="S50" s="244"/>
      <c r="T50" s="291"/>
      <c r="U50" s="292"/>
      <c r="V50" s="203"/>
      <c r="W50" s="53"/>
      <c r="X50" s="53"/>
      <c r="Y50" s="53"/>
      <c r="Z50" s="53"/>
      <c r="AA50" s="53"/>
      <c r="AB50" s="53"/>
      <c r="AC50" s="24"/>
      <c r="AD50" s="24"/>
      <c r="AE50" s="24"/>
      <c r="AF50" s="76"/>
      <c r="AG50" s="24"/>
      <c r="AH50" s="24"/>
      <c r="AI50" s="220"/>
      <c r="AJ50" s="24"/>
      <c r="AK50" s="221"/>
      <c r="AL50" s="221"/>
      <c r="AM50" s="246"/>
      <c r="AN50" s="207"/>
      <c r="AO50" s="207"/>
      <c r="AP50" s="246"/>
      <c r="AQ50" s="251"/>
      <c r="AR50" s="251"/>
      <c r="AS50" s="24"/>
      <c r="AT50" s="24"/>
      <c r="AU50" s="24"/>
    </row>
    <row r="51" spans="1:47" ht="22.2" thickBot="1" x14ac:dyDescent="0.6">
      <c r="A51" s="262"/>
      <c r="B51" s="302"/>
      <c r="C51" s="303"/>
      <c r="D51" s="303"/>
      <c r="E51" s="276">
        <v>17</v>
      </c>
      <c r="F51" s="277">
        <v>80</v>
      </c>
      <c r="G51" s="278"/>
      <c r="H51" s="278">
        <v>80</v>
      </c>
      <c r="I51" s="279"/>
      <c r="J51" s="270"/>
      <c r="K51" s="241"/>
      <c r="L51" s="241"/>
      <c r="M51" s="241"/>
      <c r="N51" s="241"/>
      <c r="O51" s="241"/>
      <c r="P51" s="296"/>
      <c r="Q51" s="296"/>
      <c r="R51" s="243"/>
      <c r="S51" s="244"/>
      <c r="T51" s="291"/>
      <c r="U51" s="292"/>
      <c r="V51" s="203"/>
      <c r="W51" s="53"/>
      <c r="X51" s="53"/>
      <c r="Y51" s="53"/>
      <c r="Z51" s="53"/>
      <c r="AA51" s="53"/>
      <c r="AB51" s="53"/>
      <c r="AC51" s="24"/>
      <c r="AD51" s="24"/>
      <c r="AE51" s="24"/>
      <c r="AF51" s="76"/>
      <c r="AG51" s="24"/>
      <c r="AH51" s="24"/>
      <c r="AI51" s="220"/>
      <c r="AJ51" s="24"/>
      <c r="AK51" s="221"/>
      <c r="AL51" s="221"/>
      <c r="AM51" s="246"/>
      <c r="AN51" s="207"/>
      <c r="AO51" s="207"/>
      <c r="AP51" s="246"/>
      <c r="AQ51" s="251"/>
      <c r="AR51" s="251"/>
      <c r="AS51" s="24"/>
      <c r="AT51" s="24"/>
      <c r="AU51" s="24"/>
    </row>
    <row r="52" spans="1:47" ht="22.2" thickTop="1" x14ac:dyDescent="0.55000000000000004">
      <c r="A52" s="262"/>
      <c r="B52" s="304" t="s">
        <v>156</v>
      </c>
      <c r="C52" s="305" t="s">
        <v>157</v>
      </c>
      <c r="D52" s="305" t="s">
        <v>158</v>
      </c>
      <c r="E52" s="306">
        <v>4</v>
      </c>
      <c r="F52" s="307">
        <v>240</v>
      </c>
      <c r="G52" s="308"/>
      <c r="H52" s="308">
        <v>240</v>
      </c>
      <c r="I52" s="309"/>
      <c r="J52" s="260"/>
      <c r="K52" s="295" t="s">
        <v>159</v>
      </c>
      <c r="L52" s="273"/>
      <c r="M52" s="273"/>
      <c r="N52" s="273"/>
      <c r="O52" s="273"/>
      <c r="P52" s="289"/>
      <c r="Q52" s="290"/>
      <c r="R52" s="243"/>
      <c r="S52" s="244"/>
      <c r="T52" s="291"/>
      <c r="U52" s="292"/>
      <c r="V52" s="203"/>
      <c r="W52" s="53"/>
      <c r="X52" s="53"/>
      <c r="Y52" s="53"/>
      <c r="Z52" s="53"/>
      <c r="AA52" s="53"/>
      <c r="AB52" s="53"/>
      <c r="AC52" s="24"/>
      <c r="AD52" s="24"/>
      <c r="AE52" s="24"/>
      <c r="AF52" s="76"/>
      <c r="AG52" s="24"/>
      <c r="AH52" s="24"/>
      <c r="AI52" s="220"/>
      <c r="AJ52" s="24"/>
      <c r="AK52" s="198"/>
      <c r="AL52" s="207"/>
      <c r="AM52" s="246"/>
      <c r="AN52" s="222"/>
      <c r="AO52" s="222"/>
      <c r="AP52" s="208"/>
      <c r="AQ52" s="251"/>
      <c r="AR52" s="251"/>
      <c r="AS52" s="24"/>
      <c r="AT52" s="24"/>
      <c r="AU52" s="24"/>
    </row>
    <row r="53" spans="1:47" ht="21.6" x14ac:dyDescent="0.55000000000000004">
      <c r="A53" s="262"/>
      <c r="B53" s="297"/>
      <c r="C53" s="305"/>
      <c r="D53" s="305"/>
      <c r="E53" s="306">
        <v>5</v>
      </c>
      <c r="F53" s="310">
        <v>52</v>
      </c>
      <c r="G53" s="308"/>
      <c r="H53" s="308"/>
      <c r="I53" s="309"/>
      <c r="J53" s="270"/>
      <c r="K53" s="216"/>
      <c r="L53" s="216"/>
      <c r="M53" s="216"/>
      <c r="N53" s="216"/>
      <c r="O53" s="216"/>
      <c r="P53" s="289"/>
      <c r="Q53" s="290"/>
      <c r="R53" s="243"/>
      <c r="S53" s="244"/>
      <c r="T53" s="291"/>
      <c r="U53" s="292"/>
      <c r="V53" s="203"/>
      <c r="W53" s="53"/>
      <c r="X53" s="53"/>
      <c r="Y53" s="53"/>
      <c r="Z53" s="53"/>
      <c r="AA53" s="53"/>
      <c r="AB53" s="53"/>
      <c r="AC53" s="24"/>
      <c r="AD53" s="24"/>
      <c r="AE53" s="24"/>
      <c r="AF53" s="76"/>
      <c r="AG53" s="24"/>
      <c r="AH53" s="24"/>
      <c r="AI53" s="220"/>
      <c r="AJ53" s="24"/>
      <c r="AK53" s="198"/>
      <c r="AL53" s="207"/>
      <c r="AM53" s="246"/>
      <c r="AN53" s="222"/>
      <c r="AO53" s="222"/>
      <c r="AP53" s="208"/>
      <c r="AQ53" s="251"/>
      <c r="AR53" s="251"/>
      <c r="AS53" s="24"/>
      <c r="AT53" s="24"/>
      <c r="AU53" s="24"/>
    </row>
    <row r="54" spans="1:47" ht="21.6" x14ac:dyDescent="0.55000000000000004">
      <c r="A54" s="262"/>
      <c r="B54" s="297"/>
      <c r="C54" s="311"/>
      <c r="D54" s="311"/>
      <c r="E54" s="298">
        <v>6</v>
      </c>
      <c r="F54" s="239"/>
      <c r="G54" s="299"/>
      <c r="H54" s="299"/>
      <c r="I54" s="300"/>
      <c r="J54" s="270"/>
      <c r="K54" s="216"/>
      <c r="L54" s="216"/>
      <c r="M54" s="216"/>
      <c r="N54" s="216"/>
      <c r="O54" s="216"/>
      <c r="P54" s="289"/>
      <c r="Q54" s="290"/>
      <c r="R54" s="243"/>
      <c r="S54" s="244"/>
      <c r="T54" s="291"/>
      <c r="U54" s="292"/>
      <c r="V54" s="203"/>
      <c r="W54" s="53"/>
      <c r="X54" s="53"/>
      <c r="Y54" s="53"/>
      <c r="Z54" s="53"/>
      <c r="AA54" s="53"/>
      <c r="AB54" s="53"/>
      <c r="AC54" s="24"/>
      <c r="AD54" s="24"/>
      <c r="AE54" s="24"/>
      <c r="AF54" s="76"/>
      <c r="AG54" s="24"/>
      <c r="AH54" s="24"/>
      <c r="AI54" s="220"/>
      <c r="AJ54" s="24"/>
      <c r="AK54" s="198"/>
      <c r="AL54" s="207"/>
      <c r="AM54" s="246"/>
      <c r="AN54" s="222"/>
      <c r="AO54" s="222"/>
      <c r="AP54" s="208"/>
      <c r="AQ54" s="251"/>
      <c r="AR54" s="251"/>
      <c r="AS54" s="24"/>
      <c r="AT54" s="24"/>
      <c r="AU54" s="24"/>
    </row>
    <row r="55" spans="1:47" ht="22.2" thickBot="1" x14ac:dyDescent="0.6">
      <c r="A55" s="262"/>
      <c r="B55" s="302"/>
      <c r="C55" s="275"/>
      <c r="D55" s="275"/>
      <c r="E55" s="276">
        <v>7</v>
      </c>
      <c r="F55" s="277"/>
      <c r="G55" s="278"/>
      <c r="H55" s="278"/>
      <c r="I55" s="279"/>
      <c r="J55" s="312"/>
      <c r="K55" s="313"/>
      <c r="L55" s="273"/>
      <c r="M55" s="273"/>
      <c r="N55" s="273"/>
      <c r="O55" s="273"/>
      <c r="P55" s="289"/>
      <c r="Q55" s="290"/>
      <c r="R55" s="243"/>
      <c r="S55" s="244"/>
      <c r="T55" s="291"/>
      <c r="U55" s="292"/>
      <c r="V55" s="203"/>
      <c r="W55" s="53"/>
      <c r="X55" s="53"/>
      <c r="Y55" s="53"/>
      <c r="Z55" s="53"/>
      <c r="AA55" s="53"/>
      <c r="AB55" s="53"/>
      <c r="AC55" s="24"/>
      <c r="AD55" s="24"/>
      <c r="AE55" s="24"/>
      <c r="AF55" s="76"/>
      <c r="AG55" s="24"/>
      <c r="AH55" s="24"/>
      <c r="AI55" s="220"/>
      <c r="AJ55" s="24"/>
      <c r="AK55" s="198"/>
      <c r="AL55" s="207"/>
      <c r="AM55" s="246"/>
      <c r="AN55" s="222"/>
      <c r="AO55" s="222"/>
      <c r="AP55" s="208"/>
      <c r="AQ55" s="251"/>
      <c r="AR55" s="251"/>
      <c r="AS55" s="24"/>
      <c r="AT55" s="24"/>
      <c r="AU55" s="24"/>
    </row>
    <row r="56" spans="1:47" ht="22.2" thickTop="1" x14ac:dyDescent="0.55000000000000004">
      <c r="A56" s="280"/>
      <c r="B56" s="288"/>
      <c r="C56" s="282"/>
      <c r="D56" s="282"/>
      <c r="E56" s="283"/>
      <c r="F56" s="284"/>
      <c r="G56" s="285"/>
      <c r="H56" s="285"/>
      <c r="I56" s="285"/>
      <c r="J56" s="285"/>
      <c r="K56" s="216"/>
      <c r="L56" s="216"/>
      <c r="M56" s="216"/>
      <c r="N56" s="216"/>
      <c r="O56" s="216"/>
      <c r="P56" s="289"/>
      <c r="Q56" s="290"/>
      <c r="R56" s="243"/>
      <c r="S56" s="244"/>
      <c r="T56" s="291"/>
      <c r="U56" s="292"/>
      <c r="V56" s="203"/>
      <c r="W56" s="53"/>
      <c r="X56" s="53"/>
      <c r="Y56" s="53"/>
      <c r="Z56" s="53"/>
      <c r="AA56" s="53"/>
      <c r="AB56" s="53"/>
      <c r="AC56" s="24"/>
      <c r="AD56" s="24"/>
      <c r="AE56" s="24"/>
      <c r="AF56" s="76"/>
      <c r="AG56" s="24"/>
      <c r="AH56" s="24"/>
      <c r="AI56" s="220"/>
      <c r="AJ56" s="24"/>
      <c r="AK56" s="198"/>
      <c r="AL56" s="207"/>
      <c r="AM56" s="246"/>
      <c r="AN56" s="222"/>
      <c r="AO56" s="222"/>
      <c r="AP56" s="208"/>
      <c r="AQ56" s="251"/>
      <c r="AR56" s="251"/>
      <c r="AS56" s="24"/>
      <c r="AT56" s="24"/>
      <c r="AU56" s="24"/>
    </row>
    <row r="57" spans="1:47" ht="22.2" thickBot="1" x14ac:dyDescent="0.6">
      <c r="A57" s="314"/>
      <c r="B57" s="288"/>
      <c r="C57" s="282"/>
      <c r="D57" s="282"/>
      <c r="E57" s="283"/>
      <c r="F57" s="284"/>
      <c r="G57" s="285"/>
      <c r="H57" s="285"/>
      <c r="I57" s="285"/>
      <c r="J57" s="285"/>
      <c r="K57" s="216"/>
      <c r="L57" s="198"/>
      <c r="M57" s="289"/>
      <c r="N57" s="289"/>
      <c r="O57" s="289"/>
      <c r="P57" s="289"/>
      <c r="Q57" s="290"/>
      <c r="R57" s="243"/>
      <c r="S57" s="244"/>
      <c r="T57" s="291"/>
      <c r="U57" s="292"/>
      <c r="V57" s="203"/>
      <c r="W57" s="53"/>
      <c r="X57" s="53"/>
      <c r="Y57" s="53"/>
      <c r="Z57" s="53"/>
      <c r="AA57" s="53"/>
      <c r="AB57" s="53"/>
      <c r="AC57" s="24"/>
      <c r="AD57" s="24"/>
      <c r="AE57" s="24"/>
      <c r="AF57" s="76"/>
      <c r="AG57" s="24"/>
      <c r="AH57" s="24"/>
      <c r="AI57" s="220"/>
      <c r="AJ57" s="24"/>
      <c r="AK57" s="198"/>
      <c r="AL57" s="207"/>
      <c r="AM57" s="246"/>
      <c r="AN57" s="222"/>
      <c r="AO57" s="222"/>
      <c r="AP57" s="208"/>
      <c r="AQ57" s="251"/>
      <c r="AR57" s="251"/>
      <c r="AS57" s="24"/>
      <c r="AT57" s="24"/>
      <c r="AU57" s="24"/>
    </row>
    <row r="58" spans="1:47" ht="22.2" thickTop="1" x14ac:dyDescent="0.55000000000000004">
      <c r="A58" s="280" t="s">
        <v>160</v>
      </c>
      <c r="B58" s="315" t="s">
        <v>161</v>
      </c>
      <c r="C58" s="316" t="s">
        <v>162</v>
      </c>
      <c r="D58" s="317" t="s">
        <v>163</v>
      </c>
      <c r="E58" s="256">
        <v>9</v>
      </c>
      <c r="F58" s="318">
        <v>120</v>
      </c>
      <c r="G58" s="258"/>
      <c r="H58" s="258"/>
      <c r="I58" s="258">
        <v>120</v>
      </c>
      <c r="J58" s="258"/>
      <c r="K58" s="241" t="s">
        <v>155</v>
      </c>
      <c r="L58" s="241"/>
      <c r="M58" s="241"/>
      <c r="N58" s="241"/>
      <c r="O58" s="241"/>
      <c r="P58" s="241"/>
      <c r="Q58" s="290"/>
      <c r="R58" s="243"/>
      <c r="S58" s="244"/>
      <c r="T58" s="291"/>
      <c r="U58" s="283"/>
      <c r="V58" s="319"/>
      <c r="W58" s="285"/>
      <c r="X58" s="285"/>
      <c r="Y58" s="285"/>
      <c r="Z58" s="285"/>
      <c r="AA58" s="216"/>
      <c r="AB58" s="53"/>
      <c r="AC58" s="24"/>
      <c r="AD58" s="24"/>
      <c r="AE58" s="24"/>
      <c r="AF58" s="76"/>
      <c r="AG58" s="24"/>
      <c r="AH58" s="24"/>
      <c r="AI58" s="220"/>
      <c r="AJ58" s="24"/>
      <c r="AK58" s="198"/>
      <c r="AL58" s="207"/>
      <c r="AM58" s="246"/>
      <c r="AN58" s="222"/>
      <c r="AO58" s="222"/>
      <c r="AP58" s="208"/>
      <c r="AQ58" s="251"/>
      <c r="AR58" s="251"/>
      <c r="AS58" s="24"/>
      <c r="AT58" s="24"/>
      <c r="AU58" s="24"/>
    </row>
    <row r="59" spans="1:47" ht="22.2" thickBot="1" x14ac:dyDescent="0.6">
      <c r="A59" s="280">
        <f>F58+F59+F63+F65+F66+F67</f>
        <v>820</v>
      </c>
      <c r="B59" s="320"/>
      <c r="C59" s="66"/>
      <c r="D59" s="66"/>
      <c r="E59" s="298">
        <v>10</v>
      </c>
      <c r="F59" s="321">
        <v>200</v>
      </c>
      <c r="G59" s="299"/>
      <c r="H59" s="299"/>
      <c r="I59" s="299">
        <v>200</v>
      </c>
      <c r="J59" s="278"/>
      <c r="K59" s="241" t="s">
        <v>155</v>
      </c>
      <c r="L59" s="241"/>
      <c r="M59" s="241"/>
      <c r="N59" s="241"/>
      <c r="O59" s="241"/>
      <c r="P59" s="241"/>
      <c r="Q59" s="290"/>
      <c r="R59" s="243"/>
      <c r="S59" s="244"/>
      <c r="T59" s="291"/>
      <c r="U59" s="283"/>
      <c r="V59" s="319"/>
      <c r="W59" s="285"/>
      <c r="X59" s="285"/>
      <c r="Y59" s="285"/>
      <c r="Z59" s="285"/>
      <c r="AA59" s="216"/>
      <c r="AB59" s="53"/>
      <c r="AC59" s="24"/>
      <c r="AD59" s="24"/>
      <c r="AE59" s="24"/>
      <c r="AF59" s="76"/>
      <c r="AG59" s="24"/>
      <c r="AH59" s="24"/>
      <c r="AI59" s="220"/>
      <c r="AJ59" s="24"/>
      <c r="AK59" s="198"/>
      <c r="AL59" s="207"/>
      <c r="AM59" s="246"/>
      <c r="AN59" s="222"/>
      <c r="AO59" s="222"/>
      <c r="AP59" s="208"/>
      <c r="AQ59" s="251"/>
      <c r="AR59" s="251"/>
      <c r="AS59" s="24"/>
      <c r="AT59" s="24"/>
      <c r="AU59" s="24"/>
    </row>
    <row r="60" spans="1:47" ht="22.8" thickTop="1" thickBot="1" x14ac:dyDescent="0.6">
      <c r="A60" s="280"/>
      <c r="B60" s="322"/>
      <c r="C60" s="303"/>
      <c r="D60" s="303"/>
      <c r="E60" s="266">
        <v>12</v>
      </c>
      <c r="F60" s="323">
        <v>200</v>
      </c>
      <c r="G60" s="268"/>
      <c r="H60" s="268"/>
      <c r="I60" s="268">
        <v>200</v>
      </c>
      <c r="J60" s="324"/>
      <c r="K60" s="241"/>
      <c r="L60" s="241"/>
      <c r="M60" s="241"/>
      <c r="N60" s="241"/>
      <c r="O60" s="241"/>
      <c r="P60" s="241"/>
      <c r="Q60" s="290"/>
      <c r="R60" s="243"/>
      <c r="S60" s="244"/>
      <c r="T60" s="291"/>
      <c r="U60" s="283"/>
      <c r="V60" s="319"/>
      <c r="W60" s="285"/>
      <c r="X60" s="285"/>
      <c r="Y60" s="285"/>
      <c r="Z60" s="285"/>
      <c r="AA60" s="216"/>
      <c r="AB60" s="53"/>
      <c r="AC60" s="24"/>
      <c r="AD60" s="24"/>
      <c r="AE60" s="24"/>
      <c r="AF60" s="76"/>
      <c r="AG60" s="24"/>
      <c r="AH60" s="24"/>
      <c r="AI60" s="220"/>
      <c r="AJ60" s="24"/>
      <c r="AK60" s="198"/>
      <c r="AL60" s="207"/>
      <c r="AM60" s="246"/>
      <c r="AN60" s="222"/>
      <c r="AO60" s="222"/>
      <c r="AP60" s="208"/>
      <c r="AQ60" s="251"/>
      <c r="AR60" s="251"/>
      <c r="AS60" s="24"/>
      <c r="AT60" s="24"/>
      <c r="AU60" s="24"/>
    </row>
    <row r="61" spans="1:47" ht="26.25" customHeight="1" thickTop="1" x14ac:dyDescent="0.55000000000000004">
      <c r="A61" s="280"/>
      <c r="B61" s="325" t="s">
        <v>164</v>
      </c>
      <c r="C61" s="326" t="s">
        <v>135</v>
      </c>
      <c r="D61" s="317" t="s">
        <v>163</v>
      </c>
      <c r="E61" s="256">
        <v>15</v>
      </c>
      <c r="F61" s="318">
        <v>120</v>
      </c>
      <c r="G61" s="258"/>
      <c r="H61" s="258"/>
      <c r="I61" s="258">
        <v>120</v>
      </c>
      <c r="J61" s="258"/>
      <c r="K61" s="241" t="s">
        <v>155</v>
      </c>
      <c r="L61" s="241"/>
      <c r="M61" s="241"/>
      <c r="N61" s="241"/>
      <c r="O61" s="241"/>
      <c r="P61" s="241"/>
      <c r="Q61" s="290"/>
      <c r="R61" s="243"/>
      <c r="S61" s="244"/>
      <c r="T61" s="291"/>
      <c r="U61" s="283"/>
      <c r="V61" s="319"/>
      <c r="W61" s="285"/>
      <c r="X61" s="285"/>
      <c r="Y61" s="285"/>
      <c r="Z61" s="285"/>
      <c r="AA61" s="216"/>
      <c r="AB61" s="53"/>
      <c r="AC61" s="24"/>
      <c r="AD61" s="24"/>
      <c r="AE61" s="24"/>
      <c r="AF61" s="76"/>
      <c r="AG61" s="24"/>
      <c r="AH61" s="24"/>
      <c r="AI61" s="220"/>
      <c r="AJ61" s="24"/>
      <c r="AK61" s="198"/>
      <c r="AL61" s="207"/>
      <c r="AM61" s="246"/>
      <c r="AN61" s="222"/>
      <c r="AO61" s="222"/>
      <c r="AP61" s="208"/>
      <c r="AQ61" s="251"/>
      <c r="AR61" s="251"/>
      <c r="AS61" s="24"/>
      <c r="AT61" s="24"/>
      <c r="AU61" s="24"/>
    </row>
    <row r="62" spans="1:47" ht="26.25" customHeight="1" x14ac:dyDescent="0.55000000000000004">
      <c r="A62" s="280"/>
      <c r="B62" s="297"/>
      <c r="C62" s="66"/>
      <c r="D62" s="66"/>
      <c r="E62" s="298">
        <v>16</v>
      </c>
      <c r="F62" s="321">
        <v>120</v>
      </c>
      <c r="G62" s="299"/>
      <c r="H62" s="299"/>
      <c r="I62" s="299">
        <v>120</v>
      </c>
      <c r="J62" s="299"/>
      <c r="K62" s="241" t="s">
        <v>155</v>
      </c>
      <c r="L62" s="241"/>
      <c r="M62" s="241"/>
      <c r="N62" s="241"/>
      <c r="O62" s="241"/>
      <c r="P62" s="241"/>
      <c r="Q62" s="290"/>
      <c r="R62" s="243"/>
      <c r="S62" s="244"/>
      <c r="T62" s="291"/>
      <c r="U62" s="283"/>
      <c r="V62" s="319"/>
      <c r="W62" s="285"/>
      <c r="X62" s="285"/>
      <c r="Y62" s="285"/>
      <c r="Z62" s="285"/>
      <c r="AA62" s="216"/>
      <c r="AB62" s="53"/>
      <c r="AC62" s="24"/>
      <c r="AD62" s="24"/>
      <c r="AE62" s="24"/>
      <c r="AF62" s="76"/>
      <c r="AG62" s="24"/>
      <c r="AH62" s="24"/>
      <c r="AI62" s="220"/>
      <c r="AJ62" s="24"/>
      <c r="AK62" s="198"/>
      <c r="AL62" s="207"/>
      <c r="AM62" s="246"/>
      <c r="AN62" s="222"/>
      <c r="AO62" s="222"/>
      <c r="AP62" s="208"/>
      <c r="AQ62" s="251"/>
      <c r="AR62" s="251"/>
      <c r="AS62" s="24"/>
      <c r="AT62" s="24"/>
      <c r="AU62" s="24"/>
    </row>
    <row r="63" spans="1:47" ht="26.25" customHeight="1" thickBot="1" x14ac:dyDescent="0.6">
      <c r="A63" s="280"/>
      <c r="B63" s="302"/>
      <c r="C63" s="303"/>
      <c r="D63" s="303"/>
      <c r="E63" s="276">
        <v>18</v>
      </c>
      <c r="F63" s="327">
        <v>120</v>
      </c>
      <c r="G63" s="278"/>
      <c r="H63" s="278"/>
      <c r="I63" s="278">
        <v>120</v>
      </c>
      <c r="J63" s="278"/>
      <c r="K63" s="241" t="s">
        <v>15</v>
      </c>
      <c r="L63" s="241"/>
      <c r="M63" s="241"/>
      <c r="N63" s="241"/>
      <c r="O63" s="241"/>
      <c r="P63" s="241"/>
      <c r="Q63" s="290"/>
      <c r="R63" s="243"/>
      <c r="S63" s="244"/>
      <c r="T63" s="291"/>
      <c r="U63" s="283"/>
      <c r="V63" s="319"/>
      <c r="W63" s="53"/>
      <c r="X63" s="53"/>
      <c r="Y63" s="53"/>
      <c r="Z63" s="53"/>
      <c r="AA63" s="53"/>
      <c r="AB63" s="53"/>
      <c r="AC63" s="24"/>
      <c r="AD63" s="24"/>
      <c r="AE63" s="24"/>
      <c r="AF63" s="76"/>
      <c r="AG63" s="24"/>
      <c r="AH63" s="24"/>
      <c r="AI63" s="220"/>
      <c r="AJ63" s="24"/>
      <c r="AK63" s="198"/>
      <c r="AL63" s="207"/>
      <c r="AM63" s="246"/>
      <c r="AN63" s="222"/>
      <c r="AO63" s="222"/>
      <c r="AP63" s="208"/>
      <c r="AQ63" s="251"/>
      <c r="AR63" s="251"/>
      <c r="AS63" s="24"/>
      <c r="AT63" s="24"/>
      <c r="AU63" s="24"/>
    </row>
    <row r="64" spans="1:47" ht="26.25" customHeight="1" thickTop="1" x14ac:dyDescent="0.55000000000000004">
      <c r="A64" s="280"/>
      <c r="B64" s="315" t="s">
        <v>128</v>
      </c>
      <c r="C64" s="316" t="s">
        <v>129</v>
      </c>
      <c r="D64" s="317" t="s">
        <v>165</v>
      </c>
      <c r="E64" s="256">
        <v>18</v>
      </c>
      <c r="F64" s="318">
        <v>180</v>
      </c>
      <c r="G64" s="258"/>
      <c r="H64" s="258"/>
      <c r="I64" s="258">
        <v>180</v>
      </c>
      <c r="J64" s="258"/>
      <c r="K64" s="241" t="s">
        <v>15</v>
      </c>
      <c r="L64" s="241"/>
      <c r="M64" s="241"/>
      <c r="N64" s="241"/>
      <c r="O64" s="241"/>
      <c r="P64" s="241"/>
      <c r="Q64" s="290"/>
      <c r="R64" s="243"/>
      <c r="S64" s="244"/>
      <c r="T64" s="291"/>
      <c r="U64" s="283"/>
      <c r="V64" s="319"/>
      <c r="W64" s="285"/>
      <c r="X64" s="285"/>
      <c r="Y64" s="285"/>
      <c r="Z64" s="285"/>
      <c r="AA64" s="216"/>
      <c r="AB64" s="53"/>
      <c r="AC64" s="24"/>
      <c r="AD64" s="24"/>
      <c r="AE64" s="24"/>
      <c r="AF64" s="76"/>
      <c r="AG64" s="24"/>
      <c r="AH64" s="24"/>
      <c r="AI64" s="220"/>
      <c r="AJ64" s="24"/>
      <c r="AK64" s="198"/>
      <c r="AL64" s="207"/>
      <c r="AM64" s="246"/>
      <c r="AN64" s="222"/>
      <c r="AO64" s="222"/>
      <c r="AP64" s="208"/>
      <c r="AQ64" s="251"/>
      <c r="AR64" s="251"/>
      <c r="AS64" s="24"/>
      <c r="AT64" s="24"/>
      <c r="AU64" s="24"/>
    </row>
    <row r="65" spans="1:47" ht="21.6" x14ac:dyDescent="0.55000000000000004">
      <c r="A65" s="252"/>
      <c r="B65" s="320"/>
      <c r="C65" s="66"/>
      <c r="D65" s="66"/>
      <c r="E65" s="298">
        <v>19</v>
      </c>
      <c r="F65" s="321">
        <v>180</v>
      </c>
      <c r="G65" s="299"/>
      <c r="H65" s="299"/>
      <c r="I65" s="299"/>
      <c r="J65" s="299"/>
      <c r="K65" s="241" t="s">
        <v>15</v>
      </c>
      <c r="L65" s="241"/>
      <c r="M65" s="241"/>
      <c r="N65" s="241"/>
      <c r="O65" s="241"/>
      <c r="P65" s="241"/>
      <c r="Q65" s="290"/>
      <c r="R65" s="243"/>
      <c r="S65" s="244"/>
      <c r="T65" s="291"/>
      <c r="U65" s="283"/>
      <c r="V65" s="319"/>
      <c r="W65" s="285"/>
      <c r="X65" s="285"/>
      <c r="Y65" s="285"/>
      <c r="Z65" s="285"/>
      <c r="AA65" s="198"/>
      <c r="AB65" s="53"/>
      <c r="AC65" s="24"/>
      <c r="AD65" s="24"/>
      <c r="AE65" s="24"/>
      <c r="AF65" s="76"/>
      <c r="AG65" s="24"/>
      <c r="AH65" s="24"/>
      <c r="AI65" s="220"/>
      <c r="AJ65" s="24"/>
      <c r="AK65" s="198"/>
      <c r="AL65" s="207"/>
      <c r="AM65" s="246"/>
      <c r="AN65" s="222"/>
      <c r="AO65" s="222"/>
      <c r="AP65" s="208"/>
      <c r="AQ65" s="251"/>
      <c r="AR65" s="251"/>
      <c r="AS65" s="24"/>
      <c r="AT65" s="24"/>
      <c r="AU65" s="24"/>
    </row>
    <row r="66" spans="1:47" ht="22.2" thickBot="1" x14ac:dyDescent="0.6">
      <c r="A66" s="262"/>
      <c r="B66" s="322"/>
      <c r="C66" s="303"/>
      <c r="D66" s="303"/>
      <c r="E66" s="276"/>
      <c r="F66" s="327"/>
      <c r="G66" s="278"/>
      <c r="H66" s="278"/>
      <c r="I66" s="278"/>
      <c r="J66" s="278"/>
      <c r="K66" s="241"/>
      <c r="L66" s="198"/>
      <c r="M66" s="198"/>
      <c r="N66" s="198"/>
      <c r="O66" s="198"/>
      <c r="P66" s="198"/>
      <c r="Q66" s="245"/>
      <c r="R66" s="243"/>
      <c r="S66" s="244"/>
      <c r="T66" s="291"/>
      <c r="U66" s="283"/>
      <c r="V66" s="319"/>
      <c r="W66" s="285"/>
      <c r="X66" s="285"/>
      <c r="Y66" s="285"/>
      <c r="Z66" s="285"/>
      <c r="AA66" s="198"/>
      <c r="AB66" s="53"/>
      <c r="AC66" s="24"/>
      <c r="AD66" s="24"/>
      <c r="AE66" s="24"/>
      <c r="AF66" s="76"/>
      <c r="AG66" s="24"/>
      <c r="AH66" s="24"/>
      <c r="AI66" s="220"/>
      <c r="AJ66" s="24"/>
      <c r="AK66" s="198"/>
      <c r="AL66" s="207"/>
      <c r="AM66" s="246"/>
      <c r="AN66" s="222"/>
      <c r="AO66" s="222"/>
      <c r="AP66" s="208"/>
      <c r="AQ66" s="251"/>
      <c r="AR66" s="251"/>
      <c r="AS66" s="24"/>
      <c r="AT66" s="24"/>
      <c r="AU66" s="24"/>
    </row>
    <row r="67" spans="1:47" ht="22.2" thickTop="1" x14ac:dyDescent="0.55000000000000004">
      <c r="A67" s="262"/>
      <c r="B67" s="328" t="s">
        <v>134</v>
      </c>
      <c r="C67" s="317" t="s">
        <v>166</v>
      </c>
      <c r="D67" s="317" t="s">
        <v>165</v>
      </c>
      <c r="E67" s="329">
        <v>2</v>
      </c>
      <c r="F67" s="257">
        <v>200</v>
      </c>
      <c r="G67" s="330"/>
      <c r="H67" s="330">
        <v>200</v>
      </c>
      <c r="I67" s="331"/>
      <c r="J67" s="330"/>
      <c r="K67" s="241" t="s">
        <v>15</v>
      </c>
      <c r="L67" s="241"/>
      <c r="M67" s="241"/>
      <c r="N67" s="241"/>
      <c r="O67" s="241"/>
      <c r="P67" s="241"/>
      <c r="Q67" s="245"/>
      <c r="R67" s="243"/>
      <c r="S67" s="244"/>
      <c r="T67" s="291"/>
      <c r="U67" s="332"/>
      <c r="V67" s="284"/>
      <c r="W67" s="333"/>
      <c r="X67" s="333"/>
      <c r="Y67" s="333"/>
      <c r="Z67" s="285"/>
      <c r="AA67" s="216"/>
      <c r="AB67" s="53"/>
      <c r="AC67" s="24"/>
      <c r="AD67" s="24"/>
      <c r="AE67" s="24"/>
      <c r="AF67" s="76"/>
      <c r="AG67" s="24"/>
      <c r="AH67" s="24"/>
      <c r="AI67" s="220"/>
      <c r="AJ67" s="24"/>
      <c r="AK67" s="198"/>
      <c r="AL67" s="207"/>
      <c r="AM67" s="246"/>
      <c r="AN67" s="222"/>
      <c r="AO67" s="222"/>
      <c r="AP67" s="208"/>
      <c r="AQ67" s="251"/>
      <c r="AR67" s="251"/>
      <c r="AS67" s="24"/>
      <c r="AT67" s="24"/>
      <c r="AU67" s="24"/>
    </row>
    <row r="68" spans="1:47" ht="22.2" thickBot="1" x14ac:dyDescent="0.6">
      <c r="A68" s="216"/>
      <c r="B68" s="322"/>
      <c r="C68" s="303"/>
      <c r="D68" s="303"/>
      <c r="E68" s="334">
        <v>3</v>
      </c>
      <c r="F68" s="277">
        <v>200</v>
      </c>
      <c r="G68" s="335"/>
      <c r="H68" s="335"/>
      <c r="I68" s="335"/>
      <c r="J68" s="335"/>
      <c r="K68" s="198"/>
      <c r="L68" s="198"/>
      <c r="M68" s="198"/>
      <c r="N68" s="198"/>
      <c r="O68" s="198"/>
      <c r="P68" s="198"/>
      <c r="Q68" s="245"/>
      <c r="R68" s="243"/>
      <c r="S68" s="244"/>
      <c r="T68" s="291"/>
      <c r="U68" s="332"/>
      <c r="V68" s="284"/>
      <c r="W68" s="333"/>
      <c r="X68" s="333"/>
      <c r="Y68" s="333"/>
      <c r="Z68" s="285"/>
      <c r="AA68" s="216"/>
      <c r="AB68" s="53"/>
      <c r="AC68" s="24"/>
      <c r="AD68" s="24"/>
      <c r="AE68" s="24"/>
      <c r="AF68" s="76"/>
      <c r="AG68" s="24"/>
      <c r="AH68" s="24"/>
      <c r="AI68" s="220"/>
      <c r="AJ68" s="24"/>
      <c r="AK68" s="198"/>
      <c r="AL68" s="207"/>
      <c r="AM68" s="246"/>
      <c r="AN68" s="222"/>
      <c r="AO68" s="222"/>
      <c r="AP68" s="208"/>
      <c r="AQ68" s="251"/>
      <c r="AR68" s="251"/>
      <c r="AS68" s="24"/>
      <c r="AT68" s="24"/>
      <c r="AU68" s="24"/>
    </row>
    <row r="69" spans="1:47" ht="22.2" thickTop="1" x14ac:dyDescent="0.45">
      <c r="A69" s="216"/>
      <c r="B69" s="216"/>
      <c r="C69" s="216"/>
      <c r="D69" s="216"/>
      <c r="E69" s="336"/>
      <c r="F69" s="198"/>
      <c r="G69" s="198"/>
      <c r="H69" s="198"/>
      <c r="I69" s="198"/>
      <c r="J69" s="198"/>
      <c r="K69" s="198"/>
      <c r="L69" s="198"/>
      <c r="M69" s="198"/>
      <c r="N69" s="198"/>
      <c r="O69" s="198"/>
      <c r="P69" s="198"/>
      <c r="Q69" s="245"/>
      <c r="R69" s="246"/>
      <c r="S69" s="214"/>
      <c r="T69" s="24"/>
      <c r="U69" s="219"/>
      <c r="V69" s="203"/>
      <c r="W69" s="53"/>
      <c r="X69" s="53"/>
      <c r="Y69" s="53"/>
      <c r="Z69" s="53"/>
      <c r="AA69" s="53"/>
      <c r="AB69" s="53"/>
      <c r="AC69" s="24"/>
      <c r="AD69" s="24"/>
      <c r="AE69" s="24"/>
      <c r="AF69" s="76"/>
      <c r="AG69" s="24"/>
      <c r="AH69" s="24"/>
      <c r="AI69" s="220"/>
      <c r="AJ69" s="24"/>
      <c r="AK69" s="198"/>
      <c r="AL69" s="207"/>
      <c r="AM69" s="246"/>
      <c r="AN69" s="222"/>
      <c r="AO69" s="222"/>
      <c r="AP69" s="208"/>
      <c r="AQ69" s="251"/>
      <c r="AR69" s="251"/>
      <c r="AS69" s="24"/>
      <c r="AT69" s="24"/>
      <c r="AU69" s="24"/>
    </row>
    <row r="70" spans="1:47" ht="21.6" x14ac:dyDescent="0.45">
      <c r="A70" s="216"/>
      <c r="B70" s="216"/>
      <c r="C70" s="216"/>
      <c r="D70" s="216"/>
      <c r="E70" s="336"/>
      <c r="F70" s="198"/>
      <c r="G70" s="198"/>
      <c r="H70" s="198"/>
      <c r="I70" s="198"/>
      <c r="J70" s="198"/>
      <c r="K70" s="198"/>
      <c r="L70" s="198"/>
      <c r="M70" s="198"/>
      <c r="N70" s="198"/>
      <c r="O70" s="198"/>
      <c r="P70" s="198"/>
      <c r="Q70" s="245"/>
      <c r="R70" s="246"/>
      <c r="S70" s="214"/>
      <c r="T70" s="24"/>
      <c r="U70" s="219"/>
      <c r="V70" s="203"/>
      <c r="W70" s="53"/>
      <c r="X70" s="53"/>
      <c r="Y70" s="53"/>
      <c r="Z70" s="53"/>
      <c r="AA70" s="53"/>
      <c r="AB70" s="53"/>
      <c r="AC70" s="24"/>
      <c r="AD70" s="24"/>
      <c r="AE70" s="24"/>
      <c r="AF70" s="76"/>
      <c r="AG70" s="24"/>
      <c r="AH70" s="24"/>
      <c r="AI70" s="220"/>
      <c r="AJ70" s="24"/>
      <c r="AK70" s="198"/>
      <c r="AL70" s="207"/>
      <c r="AM70" s="246"/>
      <c r="AN70" s="222"/>
      <c r="AO70" s="222"/>
      <c r="AP70" s="208"/>
      <c r="AQ70" s="251"/>
      <c r="AR70" s="251"/>
      <c r="AS70" s="24"/>
      <c r="AT70" s="24"/>
      <c r="AU70" s="24"/>
    </row>
    <row r="71" spans="1:47" ht="21.6" x14ac:dyDescent="0.45">
      <c r="A71" s="216"/>
      <c r="B71" s="216"/>
      <c r="C71" s="216"/>
      <c r="D71" s="216"/>
      <c r="E71" s="336"/>
      <c r="F71" s="198"/>
      <c r="G71" s="198"/>
      <c r="H71" s="198"/>
      <c r="I71" s="198"/>
      <c r="J71" s="198"/>
      <c r="K71" s="198"/>
      <c r="L71" s="198"/>
      <c r="M71" s="198"/>
      <c r="N71" s="198"/>
      <c r="O71" s="198"/>
      <c r="P71" s="198"/>
      <c r="Q71" s="245"/>
      <c r="R71" s="246"/>
      <c r="S71" s="214"/>
      <c r="T71" s="24"/>
      <c r="U71" s="219"/>
      <c r="V71" s="203"/>
      <c r="W71" s="53"/>
      <c r="X71" s="53"/>
      <c r="Y71" s="53"/>
      <c r="Z71" s="53"/>
      <c r="AA71" s="53"/>
      <c r="AB71" s="53"/>
      <c r="AC71" s="24"/>
      <c r="AD71" s="24"/>
      <c r="AE71" s="24"/>
      <c r="AF71" s="76"/>
      <c r="AG71" s="24"/>
      <c r="AH71" s="24"/>
      <c r="AI71" s="220"/>
      <c r="AJ71" s="24"/>
      <c r="AK71" s="198"/>
      <c r="AL71" s="207"/>
      <c r="AM71" s="246"/>
      <c r="AN71" s="222"/>
      <c r="AO71" s="222"/>
      <c r="AP71" s="208"/>
      <c r="AQ71" s="251"/>
      <c r="AR71" s="251"/>
      <c r="AS71" s="24"/>
      <c r="AT71" s="24"/>
      <c r="AU71" s="24"/>
    </row>
    <row r="72" spans="1:47" ht="21.6" x14ac:dyDescent="0.5">
      <c r="A72" s="216"/>
      <c r="B72" s="337"/>
      <c r="C72" s="288"/>
      <c r="D72" s="288"/>
      <c r="E72" s="283"/>
      <c r="F72" s="283"/>
      <c r="G72" s="285"/>
      <c r="H72" s="285"/>
      <c r="I72" s="285"/>
      <c r="J72" s="338"/>
      <c r="K72" s="198"/>
      <c r="L72" s="198"/>
      <c r="M72" s="198"/>
      <c r="N72" s="198"/>
      <c r="O72" s="198"/>
      <c r="P72" s="198"/>
      <c r="Q72" s="245"/>
      <c r="R72" s="246"/>
      <c r="S72" s="214"/>
      <c r="T72" s="24"/>
      <c r="U72" s="219"/>
      <c r="V72" s="203"/>
      <c r="W72" s="53"/>
      <c r="X72" s="53"/>
      <c r="Y72" s="53"/>
      <c r="Z72" s="53"/>
      <c r="AA72" s="53"/>
      <c r="AB72" s="53"/>
      <c r="AC72" s="24"/>
      <c r="AD72" s="24"/>
      <c r="AE72" s="24"/>
      <c r="AF72" s="76"/>
      <c r="AG72" s="24"/>
      <c r="AH72" s="24"/>
      <c r="AI72" s="220"/>
      <c r="AJ72" s="24"/>
      <c r="AK72" s="198"/>
      <c r="AL72" s="207"/>
      <c r="AM72" s="246"/>
      <c r="AN72" s="222"/>
      <c r="AO72" s="222"/>
      <c r="AP72" s="208"/>
      <c r="AQ72" s="251"/>
      <c r="AR72" s="251"/>
      <c r="AS72" s="24"/>
      <c r="AT72" s="24"/>
      <c r="AU72" s="24"/>
    </row>
    <row r="73" spans="1:47" ht="21.6" x14ac:dyDescent="0.5">
      <c r="A73" s="216"/>
      <c r="B73" s="273"/>
      <c r="C73" s="288"/>
      <c r="D73" s="288"/>
      <c r="E73" s="283"/>
      <c r="F73" s="283"/>
      <c r="G73" s="285"/>
      <c r="H73" s="285"/>
      <c r="I73" s="285"/>
      <c r="J73" s="285"/>
      <c r="K73" s="198"/>
      <c r="L73" s="198"/>
      <c r="M73" s="198"/>
      <c r="N73" s="198"/>
      <c r="O73" s="198"/>
      <c r="P73" s="198"/>
      <c r="Q73" s="245"/>
      <c r="R73" s="246"/>
      <c r="S73" s="214"/>
      <c r="T73" s="24"/>
      <c r="U73" s="219"/>
      <c r="V73" s="203"/>
      <c r="W73" s="53"/>
      <c r="X73" s="53"/>
      <c r="Y73" s="53"/>
      <c r="Z73" s="53"/>
      <c r="AA73" s="53"/>
      <c r="AB73" s="53"/>
      <c r="AC73" s="24"/>
      <c r="AD73" s="24"/>
      <c r="AE73" s="24"/>
      <c r="AF73" s="76"/>
      <c r="AG73" s="24"/>
      <c r="AH73" s="24"/>
      <c r="AI73" s="220"/>
      <c r="AJ73" s="24"/>
      <c r="AK73" s="198"/>
      <c r="AL73" s="207"/>
      <c r="AM73" s="246"/>
      <c r="AN73" s="222"/>
      <c r="AO73" s="222"/>
      <c r="AP73" s="208"/>
      <c r="AQ73" s="251"/>
      <c r="AR73" s="251"/>
      <c r="AS73" s="24"/>
      <c r="AT73" s="24"/>
      <c r="AU73" s="24"/>
    </row>
    <row r="74" spans="1:47" ht="21.6" x14ac:dyDescent="0.5">
      <c r="A74" s="216"/>
      <c r="B74" s="337"/>
      <c r="C74" s="339"/>
      <c r="D74" s="339"/>
      <c r="E74" s="339"/>
      <c r="F74" s="283"/>
      <c r="G74" s="285"/>
      <c r="H74" s="285"/>
      <c r="I74" s="285"/>
      <c r="J74" s="285"/>
      <c r="K74" s="198"/>
      <c r="L74" s="198"/>
      <c r="M74" s="198"/>
      <c r="N74" s="198"/>
      <c r="O74" s="198"/>
      <c r="P74" s="198"/>
      <c r="Q74" s="245"/>
      <c r="R74" s="246"/>
      <c r="S74" s="214"/>
      <c r="T74" s="24"/>
      <c r="U74" s="219"/>
      <c r="V74" s="203"/>
      <c r="W74" s="53"/>
      <c r="X74" s="53"/>
      <c r="Y74" s="53"/>
      <c r="Z74" s="53"/>
      <c r="AA74" s="53"/>
      <c r="AB74" s="53"/>
      <c r="AC74" s="24"/>
      <c r="AD74" s="24"/>
      <c r="AE74" s="24"/>
      <c r="AF74" s="76"/>
      <c r="AG74" s="24"/>
      <c r="AH74" s="24"/>
      <c r="AI74" s="220"/>
      <c r="AJ74" s="24"/>
      <c r="AK74" s="198"/>
      <c r="AL74" s="207"/>
      <c r="AM74" s="246"/>
      <c r="AN74" s="222"/>
      <c r="AO74" s="222"/>
      <c r="AP74" s="208"/>
      <c r="AQ74" s="251"/>
      <c r="AR74" s="251"/>
      <c r="AS74" s="24"/>
      <c r="AT74" s="24"/>
      <c r="AU74" s="24"/>
    </row>
    <row r="75" spans="1:47" ht="21.6" x14ac:dyDescent="0.5">
      <c r="A75" s="216"/>
      <c r="B75" s="273"/>
      <c r="C75" s="273"/>
      <c r="D75" s="273"/>
      <c r="E75" s="273"/>
      <c r="F75" s="283"/>
      <c r="G75" s="285"/>
      <c r="H75" s="285"/>
      <c r="I75" s="285"/>
      <c r="J75" s="285"/>
      <c r="K75" s="198"/>
      <c r="L75" s="198"/>
      <c r="M75" s="198"/>
      <c r="N75" s="198"/>
      <c r="O75" s="198"/>
      <c r="P75" s="198"/>
      <c r="Q75" s="245"/>
      <c r="R75" s="246"/>
      <c r="S75" s="214"/>
      <c r="T75" s="24"/>
      <c r="U75" s="219"/>
      <c r="V75" s="203"/>
      <c r="W75" s="53"/>
      <c r="X75" s="53"/>
      <c r="Y75" s="53"/>
      <c r="Z75" s="53"/>
      <c r="AA75" s="53"/>
      <c r="AB75" s="53"/>
      <c r="AC75" s="24"/>
      <c r="AD75" s="24"/>
      <c r="AE75" s="24"/>
      <c r="AF75" s="76"/>
      <c r="AG75" s="24"/>
      <c r="AH75" s="24"/>
      <c r="AI75" s="220"/>
      <c r="AJ75" s="24"/>
      <c r="AK75" s="198"/>
      <c r="AL75" s="207"/>
      <c r="AM75" s="246"/>
      <c r="AN75" s="222"/>
      <c r="AO75" s="222"/>
      <c r="AP75" s="208"/>
      <c r="AQ75" s="251"/>
      <c r="AR75" s="251"/>
      <c r="AS75" s="24"/>
      <c r="AT75" s="24"/>
      <c r="AU75" s="24"/>
    </row>
    <row r="76" spans="1:47" ht="21.6" x14ac:dyDescent="0.5">
      <c r="A76" s="216"/>
      <c r="B76" s="273"/>
      <c r="C76" s="273"/>
      <c r="D76" s="273"/>
      <c r="E76" s="273"/>
      <c r="F76" s="283"/>
      <c r="G76" s="285"/>
      <c r="H76" s="285"/>
      <c r="I76" s="285"/>
      <c r="J76" s="285"/>
      <c r="K76" s="198"/>
      <c r="L76" s="198"/>
      <c r="M76" s="198"/>
      <c r="N76" s="198"/>
      <c r="O76" s="198"/>
      <c r="P76" s="198"/>
      <c r="Q76" s="245"/>
      <c r="R76" s="246"/>
      <c r="S76" s="214"/>
      <c r="T76" s="24"/>
      <c r="U76" s="219"/>
      <c r="V76" s="203"/>
      <c r="W76" s="53"/>
      <c r="X76" s="53"/>
      <c r="Y76" s="53"/>
      <c r="Z76" s="53"/>
      <c r="AA76" s="53"/>
      <c r="AB76" s="53"/>
      <c r="AC76" s="24"/>
      <c r="AD76" s="24"/>
      <c r="AE76" s="24"/>
      <c r="AF76" s="76"/>
      <c r="AG76" s="24"/>
      <c r="AH76" s="24"/>
      <c r="AI76" s="220"/>
      <c r="AJ76" s="24"/>
      <c r="AK76" s="198"/>
      <c r="AL76" s="207"/>
      <c r="AM76" s="246"/>
      <c r="AN76" s="222"/>
      <c r="AO76" s="222"/>
      <c r="AP76" s="208"/>
      <c r="AQ76" s="251"/>
      <c r="AR76" s="251"/>
      <c r="AS76" s="24"/>
      <c r="AT76" s="24"/>
      <c r="AU76" s="24"/>
    </row>
    <row r="77" spans="1:47" ht="21.6" x14ac:dyDescent="0.45">
      <c r="A77" s="216"/>
      <c r="B77" s="216"/>
      <c r="C77" s="273"/>
      <c r="D77" s="273"/>
      <c r="E77" s="273"/>
      <c r="F77" s="198"/>
      <c r="G77" s="198"/>
      <c r="H77" s="198"/>
      <c r="I77" s="198"/>
      <c r="J77" s="198"/>
      <c r="K77" s="198"/>
      <c r="L77" s="198"/>
      <c r="M77" s="198"/>
      <c r="N77" s="198"/>
      <c r="O77" s="198"/>
      <c r="P77" s="198"/>
      <c r="Q77" s="245"/>
      <c r="R77" s="246"/>
      <c r="S77" s="214"/>
      <c r="T77" s="24"/>
      <c r="U77" s="219"/>
      <c r="V77" s="203"/>
      <c r="W77" s="53"/>
      <c r="X77" s="53"/>
      <c r="Y77" s="53"/>
      <c r="Z77" s="53"/>
      <c r="AA77" s="53"/>
      <c r="AB77" s="53"/>
      <c r="AC77" s="24"/>
      <c r="AD77" s="24"/>
      <c r="AE77" s="24"/>
      <c r="AF77" s="76"/>
      <c r="AG77" s="24"/>
      <c r="AH77" s="24"/>
      <c r="AI77" s="220"/>
      <c r="AJ77" s="24"/>
      <c r="AK77" s="198"/>
      <c r="AL77" s="207"/>
      <c r="AM77" s="246"/>
      <c r="AN77" s="222"/>
      <c r="AO77" s="222"/>
      <c r="AP77" s="208"/>
      <c r="AQ77" s="251"/>
      <c r="AR77" s="251"/>
      <c r="AS77" s="24"/>
      <c r="AT77" s="24"/>
      <c r="AU77" s="24"/>
    </row>
    <row r="78" spans="1:47" ht="21.6" x14ac:dyDescent="0.45">
      <c r="A78" s="216"/>
      <c r="B78" s="216"/>
      <c r="C78" s="212"/>
      <c r="D78" s="212"/>
      <c r="E78" s="211"/>
      <c r="F78" s="211"/>
      <c r="G78" s="211"/>
      <c r="H78" s="211"/>
      <c r="I78" s="212"/>
      <c r="J78" s="212"/>
      <c r="K78" s="218"/>
      <c r="L78" s="212"/>
      <c r="M78" s="212"/>
      <c r="N78" s="218"/>
      <c r="O78" s="218"/>
      <c r="P78" s="218"/>
      <c r="Q78" s="207"/>
      <c r="R78" s="246"/>
      <c r="S78" s="214"/>
      <c r="T78" s="24"/>
      <c r="U78" s="219"/>
      <c r="V78" s="203"/>
      <c r="W78" s="53"/>
      <c r="X78" s="53"/>
      <c r="Y78" s="53"/>
      <c r="Z78" s="53"/>
      <c r="AA78" s="53"/>
      <c r="AB78" s="53"/>
      <c r="AC78" s="24"/>
      <c r="AD78" s="24"/>
      <c r="AE78" s="24"/>
      <c r="AF78" s="76"/>
      <c r="AG78" s="24"/>
      <c r="AH78" s="24"/>
      <c r="AI78" s="220"/>
      <c r="AJ78" s="24"/>
      <c r="AK78" s="198"/>
      <c r="AL78" s="207"/>
      <c r="AM78" s="246"/>
      <c r="AN78" s="222"/>
      <c r="AO78" s="222"/>
      <c r="AP78" s="208"/>
      <c r="AQ78" s="251"/>
      <c r="AR78" s="251"/>
      <c r="AS78" s="24"/>
      <c r="AT78" s="24"/>
      <c r="AU78" s="24"/>
    </row>
  </sheetData>
  <mergeCells count="59">
    <mergeCell ref="E74:E77"/>
    <mergeCell ref="B67:B68"/>
    <mergeCell ref="C67:C68"/>
    <mergeCell ref="D67:D68"/>
    <mergeCell ref="B72:B73"/>
    <mergeCell ref="B74:B76"/>
    <mergeCell ref="C74:C77"/>
    <mergeCell ref="D74:D77"/>
    <mergeCell ref="B61:B63"/>
    <mergeCell ref="C61:C63"/>
    <mergeCell ref="D61:D63"/>
    <mergeCell ref="B64:B66"/>
    <mergeCell ref="C64:C66"/>
    <mergeCell ref="D64:D66"/>
    <mergeCell ref="B52:B55"/>
    <mergeCell ref="K52:O52"/>
    <mergeCell ref="K55:O55"/>
    <mergeCell ref="B58:B60"/>
    <mergeCell ref="C58:C60"/>
    <mergeCell ref="D58:D60"/>
    <mergeCell ref="B37:B39"/>
    <mergeCell ref="C37:C39"/>
    <mergeCell ref="D37:D39"/>
    <mergeCell ref="K43:N43"/>
    <mergeCell ref="B48:B51"/>
    <mergeCell ref="C48:C51"/>
    <mergeCell ref="D48:D51"/>
    <mergeCell ref="K48:O48"/>
    <mergeCell ref="K49:O49"/>
    <mergeCell ref="B31:B33"/>
    <mergeCell ref="C31:C33"/>
    <mergeCell ref="D31:D33"/>
    <mergeCell ref="B34:B36"/>
    <mergeCell ref="C34:C36"/>
    <mergeCell ref="D34:D36"/>
    <mergeCell ref="AL2:AL3"/>
    <mergeCell ref="AP2:AP3"/>
    <mergeCell ref="K19:L19"/>
    <mergeCell ref="M19:N19"/>
    <mergeCell ref="O19:P19"/>
    <mergeCell ref="A20:A21"/>
    <mergeCell ref="V2:V3"/>
    <mergeCell ref="W2:X2"/>
    <mergeCell ref="Y2:Z2"/>
    <mergeCell ref="AA2:AB2"/>
    <mergeCell ref="AJ2:AJ3"/>
    <mergeCell ref="AK2:AK3"/>
    <mergeCell ref="H2:H3"/>
    <mergeCell ref="I2:I3"/>
    <mergeCell ref="J2:J3"/>
    <mergeCell ref="K2:L2"/>
    <mergeCell ref="M2:N2"/>
    <mergeCell ref="O2:P2"/>
    <mergeCell ref="B2:B3"/>
    <mergeCell ref="C2:C3"/>
    <mergeCell ref="D2:D3"/>
    <mergeCell ref="E2:E3"/>
    <mergeCell ref="F2:F3"/>
    <mergeCell ref="G2:G3"/>
  </mergeCells>
  <conditionalFormatting sqref="U4:U18 U20:U21">
    <cfRule type="cellIs" dxfId="19" priority="11" operator="between">
      <formula>3.5</formula>
      <formula>12.5</formula>
    </cfRule>
  </conditionalFormatting>
  <conditionalFormatting sqref="U4:U18">
    <cfRule type="cellIs" dxfId="18" priority="12" operator="greaterThan">
      <formula>12.5</formula>
    </cfRule>
    <cfRule type="cellIs" dxfId="17" priority="13" operator="lessThan">
      <formula>3.5</formula>
    </cfRule>
  </conditionalFormatting>
  <conditionalFormatting sqref="U20:U21">
    <cfRule type="cellIs" dxfId="16" priority="7" operator="greaterThan">
      <formula>12.5</formula>
    </cfRule>
    <cfRule type="cellIs" dxfId="15" priority="8" operator="lessThan">
      <formula>3.5</formula>
    </cfRule>
  </conditionalFormatting>
  <conditionalFormatting sqref="W4:AB17">
    <cfRule type="cellIs" dxfId="14" priority="5" operator="greaterThan">
      <formula>16.5</formula>
    </cfRule>
    <cfRule type="cellIs" dxfId="13" priority="6" operator="between">
      <formula>9.5</formula>
      <formula>16.5</formula>
    </cfRule>
    <cfRule type="cellIs" dxfId="12" priority="17" operator="lessThan">
      <formula>9.5</formula>
    </cfRule>
  </conditionalFormatting>
  <conditionalFormatting sqref="W20:AB21">
    <cfRule type="cellIs" dxfId="11" priority="9" operator="between">
      <formula>15.5</formula>
      <formula>32.5</formula>
    </cfRule>
    <cfRule type="cellIs" dxfId="10" priority="10" operator="lessThan">
      <formula>15.5</formula>
    </cfRule>
    <cfRule type="cellIs" dxfId="9" priority="14" operator="greaterThan">
      <formula>32.5</formula>
    </cfRule>
  </conditionalFormatting>
  <conditionalFormatting sqref="X4:X17 Z4:Z17 AB4:AB17 AA10 X20:X21 Z20:Z21 AB20:AB21">
    <cfRule type="cellIs" dxfId="8" priority="18" operator="equal">
      <formula>"ปกติ"</formula>
    </cfRule>
    <cfRule type="cellIs" dxfId="7" priority="19" operator="equal">
      <formula>"ต้องเร่งเติม"</formula>
    </cfRule>
    <cfRule type="cellIs" dxfId="6" priority="20" operator="equal">
      <formula>"ไม่ต้องทำเพิ่ม"</formula>
    </cfRule>
  </conditionalFormatting>
  <conditionalFormatting sqref="AF3 AE3:AE9 Q4:Q9 Q11:Q17 AE11:AE17 Q20:Q21">
    <cfRule type="cellIs" dxfId="5" priority="2" operator="greaterThanOrEqual">
      <formula>0</formula>
    </cfRule>
    <cfRule type="cellIs" dxfId="4" priority="3" operator="lessThan">
      <formula>0</formula>
    </cfRule>
  </conditionalFormatting>
  <conditionalFormatting sqref="AI3 AH3:AH9 AH11:AH17 AH20:AH21">
    <cfRule type="cellIs" dxfId="3" priority="4" operator="lessThan">
      <formula>0</formula>
    </cfRule>
  </conditionalFormatting>
  <conditionalFormatting sqref="AK4:AK9 AK11:AK17 AK20:AK21">
    <cfRule type="notContainsBlanks" dxfId="2" priority="1">
      <formula>LEN(TRIM(AK4))&gt;0</formula>
    </cfRule>
  </conditionalFormatting>
  <conditionalFormatting sqref="AP4:AP21">
    <cfRule type="cellIs" dxfId="1" priority="15" operator="between">
      <formula>"50%"</formula>
      <formula>"60%"</formula>
    </cfRule>
    <cfRule type="cellIs" dxfId="0" priority="16" operator="greaterThan">
      <formula>"50%"</formula>
    </cfRule>
  </conditionalFormatting>
  <dataValidations count="1">
    <dataValidation type="list" allowBlank="1" showErrorMessage="1" sqref="AC3:AC9 AF4:AF9 AI4:AI9 AC11:AC17 AF11:AF17 AI11:AI17 AC20:AC21 AF20:AF21 AI20:AI21" xr:uid="{C0F9A00B-02B4-4555-AB87-54324C5DDE3E}">
      <formula1>$AK$4:$AK$25</formula1>
    </dataValidation>
  </dataValidations>
  <printOptions horizontalCentered="1" gridLines="1"/>
  <pageMargins left="0" right="7.3324022346368714E-2" top="0" bottom="0" header="0" footer="0"/>
  <pageSetup paperSize="7" scale="7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WIP เย็บ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CHAN, Kin Wa</dc:creator>
  <cp:lastModifiedBy>CHAN, Kin Wa</cp:lastModifiedBy>
  <dcterms:created xsi:type="dcterms:W3CDTF">2026-08-28T01:47:34Z</dcterms:created>
  <dcterms:modified xsi:type="dcterms:W3CDTF">2026-08-28T01:47:54Z</dcterms:modified>
</cp:coreProperties>
</file>